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pGeer\Desktop\"/>
    </mc:Choice>
  </mc:AlternateContent>
  <bookViews>
    <workbookView xWindow="0" yWindow="90" windowWidth="6330" windowHeight="5340" tabRatio="810"/>
  </bookViews>
  <sheets>
    <sheet name="main" sheetId="1" r:id="rId1"/>
    <sheet name="raceCoordinates" sheetId="2" r:id="rId2"/>
    <sheet name="raceCharts" sheetId="5" r:id="rId3"/>
    <sheet name="raceOtherDetails" sheetId="6" r:id="rId4"/>
    <sheet name="trainningCoordinates" sheetId="7" r:id="rId5"/>
    <sheet name="trainningCharts" sheetId="10" r:id="rId6"/>
    <sheet name="trainningOtherDetails" sheetId="11" r:id="rId7"/>
  </sheets>
  <definedNames>
    <definedName name="_xlnm._FilterDatabase" localSheetId="0" hidden="1">main!$A$1:$H$892</definedName>
  </definedNames>
  <calcPr calcId="162913"/>
</workbook>
</file>

<file path=xl/calcChain.xml><?xml version="1.0" encoding="utf-8"?>
<calcChain xmlns="http://schemas.openxmlformats.org/spreadsheetml/2006/main">
  <c r="J9" i="6" l="1"/>
  <c r="G31" i="6"/>
  <c r="G30" i="6"/>
  <c r="G29" i="6"/>
  <c r="G28" i="6"/>
  <c r="G27" i="6"/>
  <c r="G26" i="6"/>
  <c r="G15" i="6"/>
  <c r="D32" i="6"/>
  <c r="D31" i="6"/>
  <c r="D30" i="6"/>
  <c r="D29" i="6"/>
  <c r="I9" i="6"/>
  <c r="F31" i="6"/>
  <c r="F30" i="6"/>
  <c r="F29" i="6"/>
  <c r="F28" i="6"/>
  <c r="F27" i="6"/>
  <c r="F26" i="6"/>
  <c r="F15" i="6"/>
  <c r="C32" i="6"/>
  <c r="C31" i="6"/>
  <c r="C30" i="6"/>
  <c r="C29" i="6"/>
  <c r="F7" i="11" l="1"/>
  <c r="E7" i="11"/>
</calcChain>
</file>

<file path=xl/comments1.xml><?xml version="1.0" encoding="utf-8"?>
<comments xmlns="http://schemas.openxmlformats.org/spreadsheetml/2006/main">
  <authors>
    <author>TopGeer</author>
  </authors>
  <commentLis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此标记用于记录局与局之间双方选手是否交换场地，未交换用0标识，交换用1标识，举例说明：
1、单局   
  此处无意义
2、两局   
  未交换：此处留空或者为0
  交换：此处写入1
3、三局   
  未交换：此处留空或者0或者00
  第一局后交换：10 或者1
  第一局不交换第二局后交换：01
  一二局都交换：11
4、以此类推。</t>
        </r>
      </text>
    </comment>
  </commentList>
</comments>
</file>

<file path=xl/sharedStrings.xml><?xml version="1.0" encoding="utf-8"?>
<sst xmlns="http://schemas.openxmlformats.org/spreadsheetml/2006/main" count="218" uniqueCount="125">
  <si>
    <t xml:space="preserve">     </t>
    <phoneticPr fontId="1" type="noConversion"/>
  </si>
  <si>
    <t xml:space="preserve"> </t>
    <phoneticPr fontId="1" type="noConversion"/>
  </si>
  <si>
    <t>单打比赛</t>
    <phoneticPr fontId="1" type="noConversion"/>
  </si>
  <si>
    <t>双打比赛</t>
    <phoneticPr fontId="1" type="noConversion"/>
  </si>
  <si>
    <t>A击球点</t>
  </si>
  <si>
    <t>B击球点</t>
  </si>
  <si>
    <t>A方</t>
    <phoneticPr fontId="1" type="noConversion"/>
  </si>
  <si>
    <t>B方</t>
    <phoneticPr fontId="1" type="noConversion"/>
  </si>
  <si>
    <t>击球out</t>
    <phoneticPr fontId="1" type="noConversion"/>
  </si>
  <si>
    <t>击球总数</t>
    <phoneticPr fontId="1" type="noConversion"/>
  </si>
  <si>
    <t>击球易</t>
    <phoneticPr fontId="1" type="noConversion"/>
  </si>
  <si>
    <t>击球中</t>
    <phoneticPr fontId="1" type="noConversion"/>
  </si>
  <si>
    <t>击球难</t>
    <phoneticPr fontId="1" type="noConversion"/>
  </si>
  <si>
    <t>ACE</t>
    <phoneticPr fontId="1" type="noConversion"/>
  </si>
  <si>
    <t>双误</t>
    <phoneticPr fontId="1" type="noConversion"/>
  </si>
  <si>
    <t>一发成功率</t>
    <phoneticPr fontId="1" type="noConversion"/>
  </si>
  <si>
    <t>一发胜率</t>
    <phoneticPr fontId="1" type="noConversion"/>
  </si>
  <si>
    <t>二发胜率</t>
    <phoneticPr fontId="1" type="noConversion"/>
  </si>
  <si>
    <t>破发得分率</t>
    <phoneticPr fontId="1" type="noConversion"/>
  </si>
  <si>
    <t>网前得分率</t>
    <phoneticPr fontId="1" type="noConversion"/>
  </si>
  <si>
    <t>致胜分</t>
    <phoneticPr fontId="1" type="noConversion"/>
  </si>
  <si>
    <t>一发总数</t>
    <phoneticPr fontId="1" type="noConversion"/>
  </si>
  <si>
    <t>一发_内角In</t>
    <phoneticPr fontId="1" type="noConversion"/>
  </si>
  <si>
    <t>一发_中路In</t>
    <phoneticPr fontId="1" type="noConversion"/>
  </si>
  <si>
    <t>一发_外角In</t>
    <phoneticPr fontId="1" type="noConversion"/>
  </si>
  <si>
    <t>一发_内角Out</t>
    <phoneticPr fontId="1" type="noConversion"/>
  </si>
  <si>
    <t>一发_中路Out</t>
    <phoneticPr fontId="1" type="noConversion"/>
  </si>
  <si>
    <t>一发其他Out</t>
    <phoneticPr fontId="1" type="noConversion"/>
  </si>
  <si>
    <t>二发总数</t>
    <phoneticPr fontId="1" type="noConversion"/>
  </si>
  <si>
    <t>二发其他Out</t>
    <phoneticPr fontId="1" type="noConversion"/>
  </si>
  <si>
    <t>二发_内角Out</t>
    <phoneticPr fontId="1" type="noConversion"/>
  </si>
  <si>
    <t>二发_中路Out</t>
    <phoneticPr fontId="1" type="noConversion"/>
  </si>
  <si>
    <t>二发_内角In</t>
    <phoneticPr fontId="1" type="noConversion"/>
  </si>
  <si>
    <t>二发_中路In</t>
    <phoneticPr fontId="1" type="noConversion"/>
  </si>
  <si>
    <t>二发_外角In</t>
    <phoneticPr fontId="1" type="noConversion"/>
  </si>
  <si>
    <t>上网次数</t>
    <phoneticPr fontId="1" type="noConversion"/>
  </si>
  <si>
    <t>上网得分</t>
    <phoneticPr fontId="1" type="noConversion"/>
  </si>
  <si>
    <t>一发ACE</t>
    <phoneticPr fontId="1" type="noConversion"/>
  </si>
  <si>
    <t>二发ACE</t>
    <phoneticPr fontId="1" type="noConversion"/>
  </si>
  <si>
    <t>破发点</t>
    <phoneticPr fontId="1" type="noConversion"/>
  </si>
  <si>
    <t>破发得分</t>
    <phoneticPr fontId="1" type="noConversion"/>
  </si>
  <si>
    <t>短拍胜利回合</t>
    <phoneticPr fontId="1" type="noConversion"/>
  </si>
  <si>
    <t>中拍胜利回合</t>
    <phoneticPr fontId="1" type="noConversion"/>
  </si>
  <si>
    <t>长拍胜利回合</t>
    <phoneticPr fontId="1" type="noConversion"/>
  </si>
  <si>
    <t>二发_外角Out</t>
    <phoneticPr fontId="1" type="noConversion"/>
  </si>
  <si>
    <t>一发得分回合</t>
    <phoneticPr fontId="1" type="noConversion"/>
  </si>
  <si>
    <t>二发得分回合</t>
    <phoneticPr fontId="1" type="noConversion"/>
  </si>
  <si>
    <t>总得分回合数</t>
    <phoneticPr fontId="1" type="noConversion"/>
  </si>
  <si>
    <t>发球总数</t>
    <phoneticPr fontId="1" type="noConversion"/>
  </si>
  <si>
    <t>击球成功</t>
    <phoneticPr fontId="1" type="noConversion"/>
  </si>
  <si>
    <t>击球正手</t>
    <phoneticPr fontId="1" type="noConversion"/>
  </si>
  <si>
    <t>击球反手</t>
    <phoneticPr fontId="1" type="noConversion"/>
  </si>
  <si>
    <t>A一发ACE</t>
  </si>
  <si>
    <t>A一发非ACE</t>
  </si>
  <si>
    <t>A二发ACE</t>
  </si>
  <si>
    <t>A二发非ACE</t>
  </si>
  <si>
    <t>B一发ACE</t>
  </si>
  <si>
    <t>B一发非ACE</t>
  </si>
  <si>
    <t>B二发ACE</t>
  </si>
  <si>
    <t>B二发非ACE</t>
  </si>
  <si>
    <t>X轴最大值</t>
    <phoneticPr fontId="1" type="noConversion"/>
  </si>
  <si>
    <t>Y轴最大值</t>
    <phoneticPr fontId="1" type="noConversion"/>
  </si>
  <si>
    <t>一发_外角Out</t>
    <phoneticPr fontId="1" type="noConversion"/>
  </si>
  <si>
    <t>坐标单位： cm</t>
    <phoneticPr fontId="1" type="noConversion"/>
  </si>
  <si>
    <t>坐标单位： mm</t>
    <phoneticPr fontId="1" type="noConversion"/>
  </si>
  <si>
    <t>比赛交换场地标记：</t>
    <phoneticPr fontId="1" type="noConversion"/>
  </si>
  <si>
    <t>比赛模式</t>
    <phoneticPr fontId="1" type="noConversion"/>
  </si>
  <si>
    <t>单人A方训练</t>
    <phoneticPr fontId="1" type="noConversion"/>
  </si>
  <si>
    <t>双方同时训练</t>
    <phoneticPr fontId="1" type="noConversion"/>
  </si>
  <si>
    <t>单人B方训练</t>
    <phoneticPr fontId="1" type="noConversion"/>
  </si>
  <si>
    <t>训练难度：易</t>
    <phoneticPr fontId="1" type="noConversion"/>
  </si>
  <si>
    <t>训练难度：中</t>
    <phoneticPr fontId="1" type="noConversion"/>
  </si>
  <si>
    <t>训练难度：难</t>
    <phoneticPr fontId="1" type="noConversion"/>
  </si>
  <si>
    <t>B方_击球_中_总次数</t>
  </si>
  <si>
    <t>B方_击球_中_目标区域</t>
  </si>
  <si>
    <t>B方_击球_中_界内区域</t>
  </si>
  <si>
    <t>B方_击球_中_界外落地</t>
  </si>
  <si>
    <t>1010101010101011010101010101</t>
    <phoneticPr fontId="1" type="noConversion"/>
  </si>
  <si>
    <t>评分</t>
    <phoneticPr fontId="1" type="noConversion"/>
  </si>
  <si>
    <t>A</t>
    <phoneticPr fontId="1" type="noConversion"/>
  </si>
  <si>
    <t>B</t>
    <phoneticPr fontId="1" type="noConversion"/>
  </si>
  <si>
    <t>目标</t>
    <phoneticPr fontId="1" type="noConversion"/>
  </si>
  <si>
    <t>界内</t>
    <phoneticPr fontId="1" type="noConversion"/>
  </si>
  <si>
    <t>界外</t>
    <phoneticPr fontId="1" type="noConversion"/>
  </si>
  <si>
    <t>最长连续成功</t>
    <phoneticPr fontId="1" type="noConversion"/>
  </si>
  <si>
    <t>总次数</t>
    <phoneticPr fontId="1" type="noConversion"/>
  </si>
  <si>
    <t>界内成功率</t>
    <phoneticPr fontId="1" type="noConversion"/>
  </si>
  <si>
    <t>目标成功率</t>
    <phoneticPr fontId="1" type="noConversion"/>
  </si>
  <si>
    <t>击球正手In</t>
    <phoneticPr fontId="1" type="noConversion"/>
  </si>
  <si>
    <t>击球反手In</t>
    <phoneticPr fontId="1" type="noConversion"/>
  </si>
  <si>
    <t>发球out</t>
    <phoneticPr fontId="1" type="noConversion"/>
  </si>
  <si>
    <t>接发正手in</t>
    <phoneticPr fontId="1" type="noConversion"/>
  </si>
  <si>
    <t>接发反手in</t>
    <phoneticPr fontId="1" type="noConversion"/>
  </si>
  <si>
    <t>接发out</t>
    <phoneticPr fontId="1" type="noConversion"/>
  </si>
  <si>
    <t>内角成功率</t>
    <phoneticPr fontId="1" type="noConversion"/>
  </si>
  <si>
    <t>中路成功率</t>
    <phoneticPr fontId="1" type="noConversion"/>
  </si>
  <si>
    <t>外角成功率</t>
    <phoneticPr fontId="1" type="noConversion"/>
  </si>
  <si>
    <t>接发成功率</t>
    <phoneticPr fontId="1" type="noConversion"/>
  </si>
  <si>
    <t>接发总数</t>
    <phoneticPr fontId="1" type="noConversion"/>
  </si>
  <si>
    <t>接发易</t>
    <phoneticPr fontId="1" type="noConversion"/>
  </si>
  <si>
    <t>接发中</t>
    <phoneticPr fontId="1" type="noConversion"/>
  </si>
  <si>
    <t>接发难</t>
    <phoneticPr fontId="1" type="noConversion"/>
  </si>
  <si>
    <t>接发成功</t>
    <phoneticPr fontId="1" type="noConversion"/>
  </si>
  <si>
    <t>接发正手</t>
    <phoneticPr fontId="1" type="noConversion"/>
  </si>
  <si>
    <t>接发反手</t>
    <phoneticPr fontId="1" type="noConversion"/>
  </si>
  <si>
    <t>击球总数(含接发)</t>
    <phoneticPr fontId="1" type="noConversion"/>
  </si>
  <si>
    <t>击球正手in(含接发)</t>
    <phoneticPr fontId="1" type="noConversion"/>
  </si>
  <si>
    <t>击球反手in(含接发)</t>
    <phoneticPr fontId="1" type="noConversion"/>
  </si>
  <si>
    <t>击球out(含接发)</t>
    <phoneticPr fontId="1" type="noConversion"/>
  </si>
  <si>
    <t>发球内角in</t>
    <phoneticPr fontId="1" type="noConversion"/>
  </si>
  <si>
    <t>发球中路in</t>
    <phoneticPr fontId="1" type="noConversion"/>
  </si>
  <si>
    <t>发球外角in</t>
    <phoneticPr fontId="1" type="noConversion"/>
  </si>
  <si>
    <t>接发被截击</t>
    <phoneticPr fontId="1" type="noConversion"/>
  </si>
  <si>
    <t>击球被截击</t>
    <phoneticPr fontId="1" type="noConversion"/>
  </si>
  <si>
    <t>NextFeed</t>
  </si>
  <si>
    <t>Feed</t>
  </si>
  <si>
    <t>FeedIn</t>
  </si>
  <si>
    <t>Hit</t>
  </si>
  <si>
    <t>In</t>
  </si>
  <si>
    <t>FeedOut</t>
  </si>
  <si>
    <t>net</t>
  </si>
  <si>
    <t>Out</t>
  </si>
  <si>
    <t>Hard</t>
  </si>
  <si>
    <t>Normal</t>
  </si>
  <si>
    <t>Easy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</si>
</sst>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9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49" fontId="0" fillId="0" borderId="0" xfId="0" applyNumberForma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>
      <alignment vertical="center"/>
    </xf>
    <xf numFmtId="49" fontId="0" fillId="0" borderId="2" xfId="0" applyNumberFormat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0" applyFont="1" applyBorder="1">
      <alignment vertical="center"/>
    </xf>
    <xf numFmtId="49" fontId="2" fillId="0" borderId="2" xfId="0" applyNumberFormat="1" applyFont="1" applyBorder="1" applyAlignment="1">
      <alignment vertical="center"/>
    </xf>
    <xf numFmtId="49" fontId="0" fillId="0" borderId="2" xfId="0" applyNumberFormat="1" applyFill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17" fontId="0" fillId="0" borderId="0" xfId="0" applyNumberFormat="1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5" xfId="0" applyFont="1" applyBorder="1">
      <alignment vertical="center"/>
    </xf>
    <xf numFmtId="0" fontId="7" fillId="0" borderId="0" xfId="0" applyFont="1" applyBorder="1">
      <alignment vertical="center"/>
    </xf>
    <xf numFmtId="49" fontId="7" fillId="0" borderId="2" xfId="0" applyNumberFormat="1" applyFont="1" applyBorder="1" applyAlignment="1">
      <alignment vertical="center"/>
    </xf>
    <xf numFmtId="0" fontId="7" fillId="0" borderId="0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6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729A7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200">
                <a:latin typeface="宋体"/>
                <a:ea typeface="宋体"/>
                <a:cs typeface="宋体"/>
              </a:defRPr>
            </a:pPr>
            <a:r>
              <a:rPr lang="en-US"/>
              <a:t>B</a:t>
            </a:r>
            <a:r>
              <a:rPr lang="zh-CN"/>
              <a:t>方一发落点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raceCoordinates!$X$1:$X$7</c:f>
              <c:numCache>
                <c:formatCode>General</c:formatCode>
                <c:ptCount val="7"/>
                <c:pt idx="0">
                  <c:v>-1188</c:v>
                </c:pt>
                <c:pt idx="1">
                  <c:v>-1188</c:v>
                </c:pt>
                <c:pt idx="2">
                  <c:v>1188</c:v>
                </c:pt>
                <c:pt idx="3">
                  <c:v>1188</c:v>
                </c:pt>
                <c:pt idx="4">
                  <c:v>-600</c:v>
                </c:pt>
                <c:pt idx="5">
                  <c:v>-599</c:v>
                </c:pt>
                <c:pt idx="6">
                  <c:v>-604</c:v>
                </c:pt>
              </c:numCache>
            </c:numRef>
          </c:xVal>
          <c:yVal>
            <c:numRef>
              <c:f>raceCoordinates!$Y$1:$Y$7</c:f>
              <c:numCache>
                <c:formatCode>General</c:formatCode>
                <c:ptCount val="7"/>
                <c:pt idx="0">
                  <c:v>-410</c:v>
                </c:pt>
                <c:pt idx="1">
                  <c:v>410</c:v>
                </c:pt>
                <c:pt idx="2">
                  <c:v>-410</c:v>
                </c:pt>
                <c:pt idx="3">
                  <c:v>410</c:v>
                </c:pt>
                <c:pt idx="4">
                  <c:v>-22</c:v>
                </c:pt>
                <c:pt idx="5">
                  <c:v>370</c:v>
                </c:pt>
                <c:pt idx="6">
                  <c:v>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F-4212-B52C-188629872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62104"/>
        <c:axId val="491162432"/>
      </c:scatterChart>
      <c:valAx>
        <c:axId val="491162104"/>
        <c:scaling>
          <c:orientation val="minMax"/>
          <c:max val="1280"/>
          <c:min val="-1280"/>
        </c:scaling>
        <c:delete val="0"/>
        <c:axPos val="b"/>
        <c:numFmt formatCode="General" sourceLinked="1"/>
        <c:majorTickMark val="out"/>
        <c:minorTickMark val="none"/>
        <c:tickLblPos val="nextTo"/>
        <c:crossAx val="491162432"/>
        <c:crosses val="autoZero"/>
        <c:crossBetween val="midCat"/>
        <c:majorUnit val="320"/>
      </c:valAx>
      <c:valAx>
        <c:axId val="491162432"/>
        <c:scaling>
          <c:orientation val="minMax"/>
          <c:max val="410"/>
          <c:min val="-4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162104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raceOtherDetails!$D$26:$D$29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FC0-8835-C00B8A26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trainningCoordinates!$AX$1:$AX$4</c:f>
              <c:numCache>
                <c:formatCode>General</c:formatCode>
                <c:ptCount val="4"/>
              </c:numCache>
            </c:numRef>
          </c:xVal>
          <c:yVal>
            <c:numRef>
              <c:f>trainningCoordinates!$AY$1:$AY$4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8-4873-B1F0-9999648C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46152"/>
        <c:axId val="499546808"/>
      </c:scatterChart>
      <c:valAx>
        <c:axId val="499546152"/>
        <c:scaling>
          <c:orientation val="minMax"/>
          <c:max val="1280"/>
          <c:min val="-1280"/>
        </c:scaling>
        <c:delete val="0"/>
        <c:axPos val="b"/>
        <c:numFmt formatCode="General" sourceLinked="1"/>
        <c:majorTickMark val="out"/>
        <c:minorTickMark val="none"/>
        <c:tickLblPos val="nextTo"/>
        <c:crossAx val="499546808"/>
        <c:crosses val="autoZero"/>
        <c:crossBetween val="midCat"/>
        <c:majorUnit val="320"/>
      </c:valAx>
      <c:valAx>
        <c:axId val="499546808"/>
        <c:scaling>
          <c:orientation val="minMax"/>
          <c:max val="410"/>
          <c:min val="-4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9546152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" dropStyle="combo" dx="16" fmlaLink="$M$3" fmlaRange="$M$4:$M$5" sel="1" val="0"/>
</file>

<file path=xl/ctrlProps/ctrlProp3.xml><?xml version="1.0" encoding="utf-8"?>
<formControlPr xmlns="http://schemas.microsoft.com/office/spreadsheetml/2009/9/main" objectType="Drop" dropLines="2" dropStyle="combo" dx="16" fmlaLink="$N$3" fmlaRange="$N$4:$N$5" sel="1" val="0"/>
</file>

<file path=xl/ctrlProps/ctrlProp4.xml><?xml version="1.0" encoding="utf-8"?>
<formControlPr xmlns="http://schemas.microsoft.com/office/spreadsheetml/2009/9/main" objectType="Drop" dropLines="4" dropStyle="combo" dx="16" fmlaLink="$L$3" fmlaRange="$L$4:$L$7" sel="3" val="0"/>
</file>

<file path=xl/ctrlProps/ctrlProp5.xml><?xml version="1.0" encoding="utf-8"?>
<formControlPr xmlns="http://schemas.microsoft.com/office/spreadsheetml/2009/9/main" objectType="Radio" checked="Checked" firstButton="1" fmlaLink="$M$6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N$6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Drop" dropLines="3" dropStyle="combo" dx="16" fmlaLink="$P$3" fmlaRange="$P$4:$P$6" sel="2" val="0"/>
</file>

<file path=xl/ctrlProps/ctrlProp14.xml><?xml version="1.0" encoding="utf-8"?>
<formControlPr xmlns="http://schemas.microsoft.com/office/spreadsheetml/2009/9/main" objectType="Radio" firstButton="1" fmlaLink="$R$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fmlaLink="$R$4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CheckBox" fmlaLink="$R$11" lockText="1" noThreeD="1"/>
</file>

<file path=xl/ctrlProps/ctrlProp20.xml><?xml version="1.0" encoding="utf-8"?>
<formControlPr xmlns="http://schemas.microsoft.com/office/spreadsheetml/2009/9/main" objectType="CheckBox" checked="Checked" fmlaLink="$R$12" lockText="1" noThreeD="1"/>
</file>

<file path=xl/ctrlProps/ctrlProp21.xml><?xml version="1.0" encoding="utf-8"?>
<formControlPr xmlns="http://schemas.microsoft.com/office/spreadsheetml/2009/9/main" objectType="CheckBox" fmlaLink="$R$1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Radio" firstButton="1" fmlaLink="$L$4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Radio" checked="Checked" firstButton="1" fmlaLink="$M$4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R$6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R$4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7</xdr:row>
          <xdr:rowOff>9525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逻辑判定及数据分析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版本：20180108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161925</xdr:rowOff>
        </xdr:from>
        <xdr:to>
          <xdr:col>16</xdr:col>
          <xdr:colOff>714375</xdr:colOff>
          <xdr:row>13</xdr:row>
          <xdr:rowOff>57150</xdr:rowOff>
        </xdr:to>
        <xdr:sp macro="" textlink="">
          <xdr:nvSpPr>
            <xdr:cNvPr id="1098" name="下拉框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504825</xdr:colOff>
          <xdr:row>1</xdr:row>
          <xdr:rowOff>9525</xdr:rowOff>
        </xdr:from>
        <xdr:to>
          <xdr:col>17</xdr:col>
          <xdr:colOff>0</xdr:colOff>
          <xdr:row>2</xdr:row>
          <xdr:rowOff>85725</xdr:rowOff>
        </xdr:to>
        <xdr:sp macro="" textlink="">
          <xdr:nvSpPr>
            <xdr:cNvPr id="1100" name="下拉框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133350</xdr:rowOff>
        </xdr:from>
        <xdr:to>
          <xdr:col>16</xdr:col>
          <xdr:colOff>714375</xdr:colOff>
          <xdr:row>4</xdr:row>
          <xdr:rowOff>38100</xdr:rowOff>
        </xdr:to>
        <xdr:sp macro="" textlink="">
          <xdr:nvSpPr>
            <xdr:cNvPr id="1108" name="下拉框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505044</xdr:colOff>
          <xdr:row>4</xdr:row>
          <xdr:rowOff>51955</xdr:rowOff>
        </xdr:from>
        <xdr:to>
          <xdr:col>16</xdr:col>
          <xdr:colOff>701278</xdr:colOff>
          <xdr:row>9</xdr:row>
          <xdr:rowOff>155972</xdr:rowOff>
        </xdr:to>
        <xdr:grpSp>
          <xdr:nvGrpSpPr>
            <xdr:cNvPr id="10" name="组合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9649044" y="737755"/>
              <a:ext cx="1453534" cy="961267"/>
              <a:chOff x="9715501" y="1022639"/>
              <a:chExt cx="2783920" cy="1211407"/>
            </a:xfrm>
          </xdr:grpSpPr>
          <xdr:grpSp>
            <xdr:nvGrpSpPr>
              <xdr:cNvPr id="5" name="组合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9730205" y="1200575"/>
                <a:ext cx="1374209" cy="1028706"/>
                <a:chOff x="11125184" y="690554"/>
                <a:chExt cx="1371611" cy="1019181"/>
              </a:xfrm>
            </xdr:grpSpPr>
            <xdr:sp macro="" textlink="">
              <xdr:nvSpPr>
                <xdr:cNvPr id="1110" name="选项按钮 86" hidden="1">
                  <a:extLst>
                    <a:ext uri="{63B3BB69-23CF-44E3-9099-C40C66FF867C}">
                      <a14:compatExt spid="_x0000_s1110"/>
                    </a:ext>
                    <a:ext uri="{FF2B5EF4-FFF2-40B4-BE49-F238E27FC236}">
                      <a16:creationId xmlns:a16="http://schemas.microsoft.com/office/drawing/2014/main" id="{00000000-0008-0000-0000-000056040000}"/>
                    </a:ext>
                  </a:extLst>
                </xdr:cNvPr>
                <xdr:cNvSpPr/>
              </xdr:nvSpPr>
              <xdr:spPr bwMode="auto">
                <a:xfrm>
                  <a:off x="11125220" y="690554"/>
                  <a:ext cx="1371575" cy="333388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13" name="选项按钮 89" hidden="1">
                  <a:extLst>
                    <a:ext uri="{63B3BB69-23CF-44E3-9099-C40C66FF867C}">
                      <a14:compatExt spid="_x0000_s1113"/>
                    </a:ext>
                    <a:ext uri="{FF2B5EF4-FFF2-40B4-BE49-F238E27FC236}">
                      <a16:creationId xmlns:a16="http://schemas.microsoft.com/office/drawing/2014/main" id="{00000000-0008-0000-0000-000059040000}"/>
                    </a:ext>
                  </a:extLst>
                </xdr:cNvPr>
                <xdr:cNvSpPr/>
              </xdr:nvSpPr>
              <xdr:spPr bwMode="auto">
                <a:xfrm>
                  <a:off x="11125186" y="1028689"/>
                  <a:ext cx="1371600" cy="342899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14" name="选项按钮 90" hidden="1">
                  <a:extLst>
                    <a:ext uri="{63B3BB69-23CF-44E3-9099-C40C66FF867C}">
                      <a14:compatExt spid="_x0000_s1114"/>
                    </a:ext>
                    <a:ext uri="{FF2B5EF4-FFF2-40B4-BE49-F238E27FC236}">
                      <a16:creationId xmlns:a16="http://schemas.microsoft.com/office/drawing/2014/main" id="{00000000-0008-0000-0000-00005A040000}"/>
                    </a:ext>
                  </a:extLst>
                </xdr:cNvPr>
                <xdr:cNvSpPr/>
              </xdr:nvSpPr>
              <xdr:spPr bwMode="auto">
                <a:xfrm>
                  <a:off x="11125184" y="1366836"/>
                  <a:ext cx="1371599" cy="342899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15" name="分组框 91" hidden="1">
                <a:extLst>
                  <a:ext uri="{63B3BB69-23CF-44E3-9099-C40C66FF867C}">
                    <a14:compatExt spid="_x0000_s1115"/>
                  </a:ext>
                  <a:ext uri="{FF2B5EF4-FFF2-40B4-BE49-F238E27FC236}">
                    <a16:creationId xmlns:a16="http://schemas.microsoft.com/office/drawing/2014/main" id="{00000000-0008-0000-0000-00005B040000}"/>
                  </a:ext>
                </a:extLst>
              </xdr:cNvPr>
              <xdr:cNvSpPr/>
            </xdr:nvSpPr>
            <xdr:spPr bwMode="auto">
              <a:xfrm>
                <a:off x="9715501" y="1022639"/>
                <a:ext cx="1393246" cy="12114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A方</a:t>
                </a:r>
              </a:p>
            </xdr:txBody>
          </xdr:sp>
          <xdr:grpSp>
            <xdr:nvGrpSpPr>
              <xdr:cNvPr id="8" name="组合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GrpSpPr/>
            </xdr:nvGrpSpPr>
            <xdr:grpSpPr>
              <a:xfrm>
                <a:off x="11121185" y="1204798"/>
                <a:ext cx="1370545" cy="1021665"/>
                <a:chOff x="13159661" y="1907707"/>
                <a:chExt cx="1369233" cy="1021573"/>
              </a:xfrm>
            </xdr:grpSpPr>
            <xdr:sp macro="" textlink="">
              <xdr:nvSpPr>
                <xdr:cNvPr id="1140" name="选项按钮 116" hidden="1">
                  <a:extLst>
                    <a:ext uri="{63B3BB69-23CF-44E3-9099-C40C66FF867C}">
                      <a14:compatExt spid="_x0000_s1140"/>
                    </a:ext>
                    <a:ext uri="{FF2B5EF4-FFF2-40B4-BE49-F238E27FC236}">
                      <a16:creationId xmlns:a16="http://schemas.microsoft.com/office/drawing/2014/main" id="{00000000-0008-0000-0000-000074040000}"/>
                    </a:ext>
                  </a:extLst>
                </xdr:cNvPr>
                <xdr:cNvSpPr/>
              </xdr:nvSpPr>
              <xdr:spPr bwMode="auto">
                <a:xfrm>
                  <a:off x="13159697" y="1907707"/>
                  <a:ext cx="1369197" cy="331007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41" name="选项按钮 117" hidden="1">
                  <a:extLst>
                    <a:ext uri="{63B3BB69-23CF-44E3-9099-C40C66FF867C}">
                      <a14:compatExt spid="_x0000_s1141"/>
                    </a:ext>
                    <a:ext uri="{FF2B5EF4-FFF2-40B4-BE49-F238E27FC236}">
                      <a16:creationId xmlns:a16="http://schemas.microsoft.com/office/drawing/2014/main" id="{00000000-0008-0000-0000-000075040000}"/>
                    </a:ext>
                  </a:extLst>
                </xdr:cNvPr>
                <xdr:cNvSpPr/>
              </xdr:nvSpPr>
              <xdr:spPr bwMode="auto">
                <a:xfrm>
                  <a:off x="13159663" y="2243466"/>
                  <a:ext cx="1369218" cy="345281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42" name="选项按钮 118" hidden="1">
                  <a:extLst>
                    <a:ext uri="{63B3BB69-23CF-44E3-9099-C40C66FF867C}">
                      <a14:compatExt spid="_x0000_s1142"/>
                    </a:ext>
                    <a:ext uri="{FF2B5EF4-FFF2-40B4-BE49-F238E27FC236}">
                      <a16:creationId xmlns:a16="http://schemas.microsoft.com/office/drawing/2014/main" id="{00000000-0008-0000-0000-000076040000}"/>
                    </a:ext>
                  </a:extLst>
                </xdr:cNvPr>
                <xdr:cNvSpPr/>
              </xdr:nvSpPr>
              <xdr:spPr bwMode="auto">
                <a:xfrm>
                  <a:off x="13159661" y="2583998"/>
                  <a:ext cx="1369218" cy="345282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43" name="分组框 119" hidden="1">
                <a:extLst>
                  <a:ext uri="{63B3BB69-23CF-44E3-9099-C40C66FF867C}">
                    <a14:compatExt spid="_x0000_s1143"/>
                  </a:ext>
                  <a:ext uri="{FF2B5EF4-FFF2-40B4-BE49-F238E27FC236}">
                    <a16:creationId xmlns:a16="http://schemas.microsoft.com/office/drawing/2014/main" id="{00000000-0008-0000-0000-000077040000}"/>
                  </a:ext>
                </a:extLst>
              </xdr:cNvPr>
              <xdr:cNvSpPr/>
            </xdr:nvSpPr>
            <xdr:spPr bwMode="auto">
              <a:xfrm>
                <a:off x="11115282" y="1024853"/>
                <a:ext cx="1384139" cy="12073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B方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38100</xdr:rowOff>
        </xdr:from>
        <xdr:to>
          <xdr:col>16</xdr:col>
          <xdr:colOff>714375</xdr:colOff>
          <xdr:row>11</xdr:row>
          <xdr:rowOff>114300</xdr:rowOff>
        </xdr:to>
        <xdr:sp macro="" textlink="">
          <xdr:nvSpPr>
            <xdr:cNvPr id="1144" name="下拉框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2060" name="选项按钮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2061" name="选项按钮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发球落点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2062" name="分组框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2067" name="选项按钮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200-0000130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2068" name="选项按钮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200-0000140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19050</xdr:rowOff>
        </xdr:from>
        <xdr:to>
          <xdr:col>17</xdr:col>
          <xdr:colOff>638175</xdr:colOff>
          <xdr:row>11</xdr:row>
          <xdr:rowOff>133350</xdr:rowOff>
        </xdr:to>
        <xdr:sp macro="" textlink="">
          <xdr:nvSpPr>
            <xdr:cNvPr id="2069" name="复选框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142875</xdr:rowOff>
        </xdr:from>
        <xdr:to>
          <xdr:col>17</xdr:col>
          <xdr:colOff>638175</xdr:colOff>
          <xdr:row>13</xdr:row>
          <xdr:rowOff>85725</xdr:rowOff>
        </xdr:to>
        <xdr:sp macro="" textlink="">
          <xdr:nvSpPr>
            <xdr:cNvPr id="2070" name="复选框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一发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13</xdr:row>
          <xdr:rowOff>95250</xdr:rowOff>
        </xdr:from>
        <xdr:to>
          <xdr:col>17</xdr:col>
          <xdr:colOff>638175</xdr:colOff>
          <xdr:row>15</xdr:row>
          <xdr:rowOff>38100</xdr:rowOff>
        </xdr:to>
        <xdr:sp macro="" textlink="">
          <xdr:nvSpPr>
            <xdr:cNvPr id="2071" name="复选框 23" descr="二发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二发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17</xdr:row>
          <xdr:rowOff>19050</xdr:rowOff>
        </xdr:from>
        <xdr:to>
          <xdr:col>17</xdr:col>
          <xdr:colOff>666750</xdr:colOff>
          <xdr:row>20</xdr:row>
          <xdr:rowOff>152400</xdr:rowOff>
        </xdr:to>
        <xdr:sp macro="" textlink="">
          <xdr:nvSpPr>
            <xdr:cNvPr id="2072" name="按钮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11" name="发球落点与击球点统计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9524</xdr:colOff>
          <xdr:row>28</xdr:row>
          <xdr:rowOff>9526</xdr:rowOff>
        </xdr:from>
        <xdr:to>
          <xdr:col>11</xdr:col>
          <xdr:colOff>9525</xdr:colOff>
          <xdr:row>30</xdr:row>
          <xdr:rowOff>161925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961EC6CA-CBA6-454F-8668-2B659031FE1B}"/>
                </a:ext>
              </a:extLst>
            </xdr:cNvPr>
            <xdr:cNvGrpSpPr/>
          </xdr:nvGrpSpPr>
          <xdr:grpSpPr>
            <a:xfrm>
              <a:off x="6334124" y="4810126"/>
              <a:ext cx="685801" cy="495299"/>
              <a:chOff x="6334124" y="4810126"/>
              <a:chExt cx="685801" cy="495299"/>
            </a:xfrm>
          </xdr:grpSpPr>
          <xdr:sp macro="" textlink="">
            <xdr:nvSpPr>
              <xdr:cNvPr id="3073" name="选项按钮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11B7AC1B-CF31-44AE-AFF6-5F24BF0C1B40}"/>
                  </a:ext>
                </a:extLst>
              </xdr:cNvPr>
              <xdr:cNvSpPr/>
            </xdr:nvSpPr>
            <xdr:spPr bwMode="auto">
              <a:xfrm>
                <a:off x="6334124" y="4810126"/>
                <a:ext cx="685801" cy="238124"/>
              </a:xfrm>
              <a:prstGeom prst="rect">
                <a:avLst/>
              </a:prstGeom>
              <a:solidFill>
                <a:srgbClr val="CCFFCC" mc:Ignorable="a14" a14:legacySpreadsheetColorIndex="42"/>
              </a:solidFill>
              <a:ln>
                <a:noFill/>
              </a:ln>
              <a:extLst>
                <a:ext uri="{91240B29-F687-4F45-9708-019B960494DF}">
                  <a14:hiddenLine w="9525" cap="flat" cmpd="sng">
                    <a:solidFill>
                      <a:srgbClr val="000000" mc:Ignorable="a14" a14:legacySpreadsheetColorIndex="64"/>
                    </a:solidFill>
                    <a:prstDash val="solid"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3075" name="选项按钮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A267763D-F53E-4E73-841D-F15DD38F71B6}"/>
                  </a:ext>
                </a:extLst>
              </xdr:cNvPr>
              <xdr:cNvSpPr/>
            </xdr:nvSpPr>
            <xdr:spPr bwMode="auto">
              <a:xfrm>
                <a:off x="6334125" y="5067300"/>
                <a:ext cx="685800" cy="238125"/>
              </a:xfrm>
              <a:prstGeom prst="rect">
                <a:avLst/>
              </a:prstGeom>
              <a:solidFill>
                <a:srgbClr val="CCFFFF" mc:Ignorable="a14" a14:legacySpreadsheetColorIndex="41"/>
              </a:solidFill>
              <a:ln>
                <a:noFill/>
              </a:ln>
              <a:extLst>
                <a:ext uri="{91240B29-F687-4F45-9708-019B960494DF}">
                  <a14:hiddenLine w="9525" cap="flat" cmpd="sng">
                    <a:solidFill>
                      <a:srgbClr val="000000" mc:Ignorable="a14" a14:legacySpreadsheetColorIndex="64"/>
                    </a:solidFill>
                    <a:prstDash val="solid"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28</xdr:row>
          <xdr:rowOff>19050</xdr:rowOff>
        </xdr:from>
        <xdr:to>
          <xdr:col>11</xdr:col>
          <xdr:colOff>676275</xdr:colOff>
          <xdr:row>29</xdr:row>
          <xdr:rowOff>152400</xdr:rowOff>
        </xdr:to>
        <xdr:sp macro="" textlink="">
          <xdr:nvSpPr>
            <xdr:cNvPr id="3076" name="选项按钮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EFB7AEA6-FCDF-47AF-AB9E-B19DFCEAF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发球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28575</xdr:rowOff>
        </xdr:from>
        <xdr:to>
          <xdr:col>12</xdr:col>
          <xdr:colOff>647700</xdr:colOff>
          <xdr:row>29</xdr:row>
          <xdr:rowOff>152400</xdr:rowOff>
        </xdr:to>
        <xdr:sp macro="" textlink="">
          <xdr:nvSpPr>
            <xdr:cNvPr id="3077" name="选项按钮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94EB3EE9-227E-4E2D-971A-DD2F0C1C7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接发球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28</xdr:row>
          <xdr:rowOff>28575</xdr:rowOff>
        </xdr:from>
        <xdr:to>
          <xdr:col>13</xdr:col>
          <xdr:colOff>666750</xdr:colOff>
          <xdr:row>29</xdr:row>
          <xdr:rowOff>152400</xdr:rowOff>
        </xdr:to>
        <xdr:sp macro="" textlink="">
          <xdr:nvSpPr>
            <xdr:cNvPr id="3078" name="选项按钮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BA3D7B5-6E9D-47ED-81F5-3F5DCC886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66FF" mc:Ignorable="a14" a14:legacySpreadsheetColorIndex="48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15</xdr:col>
          <xdr:colOff>771525</xdr:colOff>
          <xdr:row>30</xdr:row>
          <xdr:rowOff>152400</xdr:rowOff>
        </xdr:to>
        <xdr:sp macro="" textlink="">
          <xdr:nvSpPr>
            <xdr:cNvPr id="3079" name="按钮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4EF2B8BB-D66D-42DB-A82C-87813EDDB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选完自己画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28</xdr:row>
          <xdr:rowOff>0</xdr:rowOff>
        </xdr:from>
        <xdr:to>
          <xdr:col>11</xdr:col>
          <xdr:colOff>9525</xdr:colOff>
          <xdr:row>31</xdr:row>
          <xdr:rowOff>0</xdr:rowOff>
        </xdr:to>
        <xdr:sp macro="" textlink="">
          <xdr:nvSpPr>
            <xdr:cNvPr id="3080" name="分组框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6B31A344-F287-415B-B449-DFF39D24B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25400</xdr:colOff>
      <xdr:row>2</xdr:row>
      <xdr:rowOff>165100</xdr:rowOff>
    </xdr:from>
    <xdr:to>
      <xdr:col>15</xdr:col>
      <xdr:colOff>533400</xdr:colOff>
      <xdr:row>25</xdr:row>
      <xdr:rowOff>31750</xdr:rowOff>
    </xdr:to>
    <xdr:graphicFrame macro="">
      <xdr:nvGraphicFramePr>
        <xdr:cNvPr id="20" name="MyChart">
          <a:extLst>
            <a:ext uri="{FF2B5EF4-FFF2-40B4-BE49-F238E27FC236}">
              <a16:creationId xmlns:a16="http://schemas.microsoft.com/office/drawing/2014/main" id="{9122ECF6-AD66-4426-88C8-9F0B941FB8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6147" name="Group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6148" name="选项按钮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500-0000041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6149" name="选项按钮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500-0000051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95250</xdr:rowOff>
        </xdr:from>
        <xdr:to>
          <xdr:col>17</xdr:col>
          <xdr:colOff>666750</xdr:colOff>
          <xdr:row>14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2" name="落点与击球点">
          <a:extLst>
            <a:ext uri="{FF2B5EF4-FFF2-40B4-BE49-F238E27FC236}">
              <a16:creationId xmlns:a16="http://schemas.microsoft.com/office/drawing/2014/main" id="{2AFDF9FD-DA71-4CE8-9DAE-A5AA8DB7B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ctrlProp" Target="../ctrlProps/ctrlProp30.xml"/><Relationship Id="rId7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97"/>
  <sheetViews>
    <sheetView tabSelected="1" zoomScaleNormal="100" workbookViewId="0">
      <selection activeCell="G13" sqref="G13"/>
    </sheetView>
  </sheetViews>
  <sheetFormatPr defaultRowHeight="13.5" x14ac:dyDescent="0.15"/>
  <cols>
    <col min="1" max="1" width="7.125" customWidth="1"/>
    <col min="2" max="2" width="6.5" customWidth="1"/>
    <col min="3" max="3" width="5.625" customWidth="1"/>
    <col min="4" max="4" width="5.375" customWidth="1"/>
    <col min="5" max="5" width="4.875" customWidth="1"/>
    <col min="6" max="6" width="18.125" customWidth="1"/>
    <col min="7" max="7" width="7.125" customWidth="1"/>
    <col min="8" max="8" width="6.5" customWidth="1"/>
    <col min="9" max="9" width="18.125" customWidth="1"/>
    <col min="10" max="10" width="7.125" customWidth="1"/>
    <col min="11" max="11" width="6.5" customWidth="1"/>
    <col min="12" max="12" width="9" style="24" customWidth="1"/>
    <col min="13" max="13" width="9" style="2"/>
    <col min="14" max="14" width="9" style="2" customWidth="1"/>
    <col min="15" max="15" width="6.75" style="2" customWidth="1"/>
    <col min="16" max="16" width="9.75" style="2" customWidth="1"/>
    <col min="17" max="17" width="9.5" style="2" bestFit="1" customWidth="1"/>
    <col min="18" max="19" width="9" style="2"/>
    <col min="20" max="20" width="9" style="2" customWidth="1"/>
    <col min="21" max="25" width="9" style="2"/>
  </cols>
  <sheetData>
    <row r="1" spans="1:24" ht="13.5" customHeight="1" x14ac:dyDescent="0.15">
      <c r="A1">
        <v>-1219</v>
      </c>
      <c r="B1">
        <v>-28</v>
      </c>
      <c r="C1">
        <v>100</v>
      </c>
      <c r="D1">
        <v>2</v>
      </c>
      <c r="E1">
        <v>0</v>
      </c>
      <c r="I1" t="s">
        <v>114</v>
      </c>
      <c r="L1" s="25"/>
      <c r="M1" s="16"/>
      <c r="N1" s="1"/>
      <c r="O1" s="1"/>
      <c r="P1" s="1"/>
      <c r="R1" s="11"/>
      <c r="S1" s="1"/>
      <c r="T1" s="1"/>
      <c r="U1" s="1"/>
      <c r="V1" s="1"/>
      <c r="W1" s="1"/>
      <c r="X1" s="1"/>
    </row>
    <row r="2" spans="1:24" ht="13.5" customHeight="1" x14ac:dyDescent="0.15">
      <c r="A2">
        <v>595</v>
      </c>
      <c r="B2">
        <v>-28</v>
      </c>
      <c r="C2">
        <v>100</v>
      </c>
      <c r="D2">
        <v>3</v>
      </c>
      <c r="E2">
        <v>0</v>
      </c>
      <c r="I2" t="s">
        <v>114</v>
      </c>
      <c r="R2" s="18"/>
      <c r="T2" s="21"/>
    </row>
    <row r="3" spans="1:24" ht="13.5" customHeight="1" x14ac:dyDescent="0.15">
      <c r="A3">
        <v>-1219</v>
      </c>
      <c r="B3">
        <v>-28</v>
      </c>
      <c r="C3">
        <v>100</v>
      </c>
      <c r="D3">
        <v>2</v>
      </c>
      <c r="E3">
        <v>0</v>
      </c>
      <c r="I3" t="s">
        <v>114</v>
      </c>
      <c r="L3" s="34">
        <v>3</v>
      </c>
      <c r="M3" s="35">
        <v>1</v>
      </c>
      <c r="N3" s="35">
        <v>1</v>
      </c>
      <c r="O3" s="18"/>
      <c r="P3" s="35">
        <v>2</v>
      </c>
    </row>
    <row r="4" spans="1:24" ht="13.5" customHeight="1" x14ac:dyDescent="0.15">
      <c r="A4">
        <v>524</v>
      </c>
      <c r="B4">
        <v>147</v>
      </c>
      <c r="C4">
        <v>100</v>
      </c>
      <c r="D4">
        <v>3</v>
      </c>
      <c r="E4">
        <v>0</v>
      </c>
      <c r="I4" t="s">
        <v>114</v>
      </c>
      <c r="L4" s="34" t="s">
        <v>66</v>
      </c>
      <c r="M4" s="35" t="s">
        <v>2</v>
      </c>
      <c r="N4" s="35" t="s">
        <v>63</v>
      </c>
      <c r="P4" s="37" t="s">
        <v>70</v>
      </c>
    </row>
    <row r="5" spans="1:24" ht="13.5" customHeight="1" x14ac:dyDescent="0.15">
      <c r="A5">
        <v>1149</v>
      </c>
      <c r="B5">
        <v>193</v>
      </c>
      <c r="C5">
        <v>100</v>
      </c>
      <c r="D5">
        <v>1</v>
      </c>
      <c r="E5">
        <v>0</v>
      </c>
      <c r="I5" t="s">
        <v>115</v>
      </c>
      <c r="L5" s="36" t="s">
        <v>67</v>
      </c>
      <c r="M5" s="35" t="s">
        <v>3</v>
      </c>
      <c r="N5" s="35" t="s">
        <v>64</v>
      </c>
      <c r="P5" s="35" t="s">
        <v>71</v>
      </c>
    </row>
    <row r="6" spans="1:24" ht="13.5" customHeight="1" x14ac:dyDescent="0.15">
      <c r="A6">
        <v>-1052</v>
      </c>
      <c r="B6">
        <v>87</v>
      </c>
      <c r="C6">
        <v>100</v>
      </c>
      <c r="D6">
        <v>3</v>
      </c>
      <c r="E6">
        <v>0</v>
      </c>
      <c r="I6" t="s">
        <v>116</v>
      </c>
      <c r="L6" s="36" t="s">
        <v>69</v>
      </c>
      <c r="M6" s="35">
        <v>1</v>
      </c>
      <c r="N6" s="35">
        <v>3</v>
      </c>
      <c r="P6" s="35" t="s">
        <v>72</v>
      </c>
    </row>
    <row r="7" spans="1:24" ht="13.5" customHeight="1" x14ac:dyDescent="0.15">
      <c r="A7">
        <v>-1247</v>
      </c>
      <c r="B7">
        <v>46</v>
      </c>
      <c r="C7">
        <v>100</v>
      </c>
      <c r="D7">
        <v>1</v>
      </c>
      <c r="E7">
        <v>0</v>
      </c>
      <c r="I7" t="s">
        <v>117</v>
      </c>
      <c r="L7" s="36" t="s">
        <v>68</v>
      </c>
      <c r="M7" s="35" t="s">
        <v>0</v>
      </c>
      <c r="N7" s="35"/>
    </row>
    <row r="8" spans="1:24" ht="13.5" customHeight="1" x14ac:dyDescent="0.15">
      <c r="A8">
        <v>1140</v>
      </c>
      <c r="B8">
        <v>-255</v>
      </c>
      <c r="C8">
        <v>100</v>
      </c>
      <c r="D8">
        <v>3</v>
      </c>
      <c r="E8">
        <v>0</v>
      </c>
      <c r="I8" t="s">
        <v>118</v>
      </c>
      <c r="J8" t="s">
        <v>122</v>
      </c>
    </row>
    <row r="9" spans="1:24" x14ac:dyDescent="0.15">
      <c r="A9">
        <v>1351</v>
      </c>
      <c r="B9">
        <v>-283</v>
      </c>
      <c r="C9">
        <v>100</v>
      </c>
      <c r="D9">
        <v>1</v>
      </c>
      <c r="E9">
        <v>0</v>
      </c>
      <c r="I9" t="s">
        <v>115</v>
      </c>
      <c r="L9" s="10"/>
      <c r="Q9" s="2" t="s">
        <v>1</v>
      </c>
    </row>
    <row r="10" spans="1:24" x14ac:dyDescent="0.15">
      <c r="A10">
        <v>535</v>
      </c>
      <c r="B10">
        <v>139</v>
      </c>
      <c r="C10">
        <v>100</v>
      </c>
      <c r="D10">
        <v>3</v>
      </c>
      <c r="E10">
        <v>0</v>
      </c>
      <c r="I10" t="s">
        <v>119</v>
      </c>
    </row>
    <row r="11" spans="1:24" x14ac:dyDescent="0.15">
      <c r="A11">
        <v>-1214</v>
      </c>
      <c r="B11">
        <v>43</v>
      </c>
      <c r="C11">
        <v>100</v>
      </c>
      <c r="D11">
        <v>2</v>
      </c>
      <c r="E11">
        <v>0</v>
      </c>
      <c r="I11" t="s">
        <v>114</v>
      </c>
    </row>
    <row r="12" spans="1:24" ht="14.25" customHeight="1" x14ac:dyDescent="0.15">
      <c r="A12">
        <v>578</v>
      </c>
      <c r="B12">
        <v>-441</v>
      </c>
      <c r="C12">
        <v>100</v>
      </c>
      <c r="D12">
        <v>3</v>
      </c>
      <c r="E12">
        <v>0</v>
      </c>
      <c r="I12" t="s">
        <v>114</v>
      </c>
      <c r="L12" s="10"/>
    </row>
    <row r="13" spans="1:24" x14ac:dyDescent="0.15">
      <c r="A13">
        <v>-1214</v>
      </c>
      <c r="B13">
        <v>43</v>
      </c>
      <c r="C13">
        <v>100</v>
      </c>
      <c r="D13">
        <v>2</v>
      </c>
      <c r="E13">
        <v>0</v>
      </c>
      <c r="I13" t="s">
        <v>114</v>
      </c>
      <c r="L13" s="10"/>
      <c r="R13" s="20"/>
      <c r="S13" s="20"/>
      <c r="T13" s="5"/>
      <c r="U13" s="5"/>
    </row>
    <row r="14" spans="1:24" x14ac:dyDescent="0.15">
      <c r="A14">
        <v>554</v>
      </c>
      <c r="B14">
        <v>-169</v>
      </c>
      <c r="C14">
        <v>100</v>
      </c>
      <c r="D14">
        <v>3</v>
      </c>
      <c r="E14">
        <v>0</v>
      </c>
      <c r="I14" t="s">
        <v>114</v>
      </c>
      <c r="L14" s="10"/>
      <c r="R14" s="20"/>
      <c r="S14" s="20"/>
      <c r="T14" s="5"/>
      <c r="U14" s="5"/>
    </row>
    <row r="15" spans="1:24" x14ac:dyDescent="0.15">
      <c r="A15">
        <v>1156</v>
      </c>
      <c r="B15">
        <v>-242</v>
      </c>
      <c r="C15">
        <v>100</v>
      </c>
      <c r="D15">
        <v>1</v>
      </c>
      <c r="E15">
        <v>0</v>
      </c>
      <c r="I15" t="s">
        <v>115</v>
      </c>
      <c r="L15" s="10"/>
      <c r="P15" s="2" t="s">
        <v>65</v>
      </c>
      <c r="R15" s="23" t="s">
        <v>77</v>
      </c>
      <c r="S15" s="20"/>
      <c r="T15" s="5"/>
      <c r="U15" s="5"/>
    </row>
    <row r="16" spans="1:24" x14ac:dyDescent="0.15">
      <c r="A16">
        <v>-1048</v>
      </c>
      <c r="B16">
        <v>-109</v>
      </c>
      <c r="C16">
        <v>100</v>
      </c>
      <c r="D16">
        <v>3</v>
      </c>
      <c r="E16">
        <v>0</v>
      </c>
      <c r="I16" t="s">
        <v>116</v>
      </c>
      <c r="L16" s="10"/>
      <c r="R16" s="20"/>
      <c r="S16" s="20"/>
      <c r="T16" s="7"/>
      <c r="U16" s="7"/>
    </row>
    <row r="17" spans="1:26" x14ac:dyDescent="0.15">
      <c r="A17">
        <v>-1294</v>
      </c>
      <c r="B17">
        <v>84</v>
      </c>
      <c r="C17">
        <v>100</v>
      </c>
      <c r="D17">
        <v>1</v>
      </c>
      <c r="E17">
        <v>0</v>
      </c>
      <c r="I17" t="s">
        <v>117</v>
      </c>
      <c r="L17" s="10"/>
    </row>
    <row r="18" spans="1:26" x14ac:dyDescent="0.15">
      <c r="A18">
        <v>935</v>
      </c>
      <c r="B18">
        <v>-223</v>
      </c>
      <c r="C18">
        <v>100</v>
      </c>
      <c r="D18">
        <v>3</v>
      </c>
      <c r="E18">
        <v>0</v>
      </c>
      <c r="I18" t="s">
        <v>118</v>
      </c>
      <c r="J18" t="s">
        <v>123</v>
      </c>
      <c r="L18" s="14"/>
      <c r="R18" s="12"/>
      <c r="S18" s="4"/>
      <c r="W18" s="13"/>
      <c r="Z18" s="2"/>
    </row>
    <row r="19" spans="1:26" x14ac:dyDescent="0.15">
      <c r="A19">
        <v>1264</v>
      </c>
      <c r="B19">
        <v>-279</v>
      </c>
      <c r="C19">
        <v>100</v>
      </c>
      <c r="D19">
        <v>1</v>
      </c>
      <c r="E19">
        <v>0</v>
      </c>
      <c r="I19" t="s">
        <v>115</v>
      </c>
      <c r="L19" s="14"/>
      <c r="S19" s="4"/>
      <c r="Z19" s="2"/>
    </row>
    <row r="20" spans="1:26" x14ac:dyDescent="0.15">
      <c r="A20">
        <v>-1047</v>
      </c>
      <c r="B20">
        <v>-199</v>
      </c>
      <c r="C20">
        <v>100</v>
      </c>
      <c r="D20">
        <v>3</v>
      </c>
      <c r="E20">
        <v>0</v>
      </c>
      <c r="I20" t="s">
        <v>116</v>
      </c>
      <c r="L20" s="14"/>
      <c r="S20" s="4"/>
      <c r="Z20" s="2"/>
    </row>
    <row r="21" spans="1:26" x14ac:dyDescent="0.15">
      <c r="A21">
        <v>-1368</v>
      </c>
      <c r="B21">
        <v>-151</v>
      </c>
      <c r="C21">
        <v>100</v>
      </c>
      <c r="D21">
        <v>1</v>
      </c>
      <c r="E21">
        <v>0</v>
      </c>
      <c r="I21" t="s">
        <v>117</v>
      </c>
      <c r="L21" s="10"/>
      <c r="Z21" s="2"/>
    </row>
    <row r="22" spans="1:26" ht="13.5" customHeight="1" x14ac:dyDescent="0.15">
      <c r="A22">
        <v>1039</v>
      </c>
      <c r="B22">
        <v>-398</v>
      </c>
      <c r="C22">
        <v>100</v>
      </c>
      <c r="D22">
        <v>3</v>
      </c>
      <c r="E22">
        <v>0</v>
      </c>
      <c r="I22" t="s">
        <v>118</v>
      </c>
      <c r="J22" t="s">
        <v>122</v>
      </c>
      <c r="L22" s="10"/>
      <c r="N22" s="5"/>
      <c r="Z22" s="2"/>
    </row>
    <row r="23" spans="1:26" ht="13.5" customHeight="1" x14ac:dyDescent="0.15">
      <c r="A23">
        <v>1346</v>
      </c>
      <c r="B23">
        <v>-463</v>
      </c>
      <c r="C23">
        <v>100</v>
      </c>
      <c r="D23">
        <v>1</v>
      </c>
      <c r="E23">
        <v>0</v>
      </c>
      <c r="I23" t="s">
        <v>115</v>
      </c>
      <c r="N23" s="5"/>
      <c r="Z23" s="2"/>
    </row>
    <row r="24" spans="1:26" ht="13.5" customHeight="1" x14ac:dyDescent="0.15">
      <c r="A24">
        <v>0</v>
      </c>
      <c r="B24">
        <v>-283</v>
      </c>
      <c r="C24">
        <v>100</v>
      </c>
      <c r="D24">
        <v>4</v>
      </c>
      <c r="E24">
        <v>0</v>
      </c>
      <c r="I24" t="s">
        <v>120</v>
      </c>
      <c r="N24" s="5"/>
      <c r="Z24" s="2"/>
    </row>
    <row r="25" spans="1:26" x14ac:dyDescent="0.15">
      <c r="A25">
        <v>28</v>
      </c>
      <c r="B25">
        <v>-307</v>
      </c>
      <c r="C25">
        <v>100</v>
      </c>
      <c r="D25">
        <v>3</v>
      </c>
      <c r="E25">
        <v>0</v>
      </c>
      <c r="I25" t="s">
        <v>119</v>
      </c>
      <c r="L25" s="26"/>
      <c r="M25" s="9"/>
      <c r="Z25" s="2"/>
    </row>
    <row r="26" spans="1:26" x14ac:dyDescent="0.15">
      <c r="A26">
        <v>-1212</v>
      </c>
      <c r="B26">
        <v>-46</v>
      </c>
      <c r="C26">
        <v>100</v>
      </c>
      <c r="D26">
        <v>2</v>
      </c>
      <c r="E26">
        <v>0</v>
      </c>
      <c r="I26" t="s">
        <v>114</v>
      </c>
      <c r="L26" s="27"/>
      <c r="R26" s="12"/>
      <c r="S26" s="4"/>
      <c r="W26" s="9"/>
      <c r="Z26" s="2"/>
    </row>
    <row r="27" spans="1:26" x14ac:dyDescent="0.15">
      <c r="A27">
        <v>0</v>
      </c>
      <c r="B27">
        <v>290</v>
      </c>
      <c r="C27">
        <v>100</v>
      </c>
      <c r="D27">
        <v>4</v>
      </c>
      <c r="E27">
        <v>0</v>
      </c>
      <c r="I27" t="s">
        <v>114</v>
      </c>
      <c r="L27" s="28"/>
      <c r="S27" s="4"/>
      <c r="Z27" s="2"/>
    </row>
    <row r="28" spans="1:26" x14ac:dyDescent="0.15">
      <c r="A28">
        <v>-43</v>
      </c>
      <c r="B28">
        <v>305</v>
      </c>
      <c r="C28">
        <v>100</v>
      </c>
      <c r="D28">
        <v>3</v>
      </c>
      <c r="E28">
        <v>0</v>
      </c>
      <c r="I28" t="s">
        <v>114</v>
      </c>
      <c r="L28" s="28"/>
      <c r="S28" s="4"/>
      <c r="Z28" s="2"/>
    </row>
    <row r="29" spans="1:26" x14ac:dyDescent="0.15">
      <c r="A29">
        <v>-1212</v>
      </c>
      <c r="B29">
        <v>-46</v>
      </c>
      <c r="C29">
        <v>100</v>
      </c>
      <c r="D29">
        <v>2</v>
      </c>
      <c r="E29">
        <v>0</v>
      </c>
      <c r="I29" t="s">
        <v>114</v>
      </c>
      <c r="L29" s="28"/>
      <c r="S29" s="4"/>
      <c r="Z29" s="2"/>
    </row>
    <row r="30" spans="1:26" x14ac:dyDescent="0.15">
      <c r="A30">
        <v>0</v>
      </c>
      <c r="B30">
        <v>216</v>
      </c>
      <c r="C30">
        <v>100</v>
      </c>
      <c r="D30">
        <v>4</v>
      </c>
      <c r="E30">
        <v>0</v>
      </c>
      <c r="I30" t="s">
        <v>114</v>
      </c>
    </row>
    <row r="31" spans="1:26" x14ac:dyDescent="0.15">
      <c r="A31">
        <v>-59</v>
      </c>
      <c r="B31">
        <v>238</v>
      </c>
      <c r="C31">
        <v>100</v>
      </c>
      <c r="D31">
        <v>3</v>
      </c>
      <c r="E31">
        <v>0</v>
      </c>
      <c r="I31" t="s">
        <v>114</v>
      </c>
    </row>
    <row r="32" spans="1:26" x14ac:dyDescent="0.15">
      <c r="A32">
        <v>-1212</v>
      </c>
      <c r="B32">
        <v>46</v>
      </c>
      <c r="C32">
        <v>100</v>
      </c>
      <c r="D32">
        <v>2</v>
      </c>
      <c r="E32">
        <v>0</v>
      </c>
      <c r="I32" t="s">
        <v>114</v>
      </c>
    </row>
    <row r="33" spans="1:15" ht="13.5" customHeight="1" x14ac:dyDescent="0.15">
      <c r="A33">
        <v>604</v>
      </c>
      <c r="B33">
        <v>-370</v>
      </c>
      <c r="C33">
        <v>100</v>
      </c>
      <c r="D33">
        <v>3</v>
      </c>
      <c r="E33">
        <v>0</v>
      </c>
      <c r="I33" t="s">
        <v>114</v>
      </c>
      <c r="L33" s="10"/>
    </row>
    <row r="34" spans="1:15" x14ac:dyDescent="0.15">
      <c r="A34">
        <v>1184</v>
      </c>
      <c r="B34">
        <v>-550</v>
      </c>
      <c r="C34">
        <v>100</v>
      </c>
      <c r="D34">
        <v>1</v>
      </c>
      <c r="E34">
        <v>0</v>
      </c>
      <c r="I34" t="s">
        <v>115</v>
      </c>
    </row>
    <row r="35" spans="1:15" x14ac:dyDescent="0.15">
      <c r="A35">
        <v>-344</v>
      </c>
      <c r="B35">
        <v>-245</v>
      </c>
      <c r="C35">
        <v>100</v>
      </c>
      <c r="D35">
        <v>3</v>
      </c>
      <c r="E35">
        <v>0</v>
      </c>
      <c r="I35" t="s">
        <v>116</v>
      </c>
    </row>
    <row r="36" spans="1:15" x14ac:dyDescent="0.15">
      <c r="A36">
        <v>-613</v>
      </c>
      <c r="B36">
        <v>-199</v>
      </c>
      <c r="C36">
        <v>100</v>
      </c>
      <c r="D36">
        <v>1</v>
      </c>
      <c r="E36">
        <v>0</v>
      </c>
      <c r="I36" t="s">
        <v>117</v>
      </c>
    </row>
    <row r="37" spans="1:15" x14ac:dyDescent="0.15">
      <c r="A37">
        <v>1219</v>
      </c>
      <c r="B37">
        <v>277</v>
      </c>
      <c r="C37">
        <v>100</v>
      </c>
      <c r="D37">
        <v>3</v>
      </c>
      <c r="E37">
        <v>0</v>
      </c>
      <c r="I37" t="s">
        <v>121</v>
      </c>
      <c r="N37" s="5"/>
    </row>
    <row r="38" spans="1:15" x14ac:dyDescent="0.15">
      <c r="A38">
        <v>-1214</v>
      </c>
      <c r="B38">
        <v>-32</v>
      </c>
      <c r="C38">
        <v>100</v>
      </c>
      <c r="D38">
        <v>2</v>
      </c>
      <c r="E38">
        <v>0</v>
      </c>
      <c r="I38" t="s">
        <v>114</v>
      </c>
      <c r="L38" s="28"/>
      <c r="N38" s="5"/>
      <c r="O38" s="18"/>
    </row>
    <row r="39" spans="1:15" x14ac:dyDescent="0.15">
      <c r="A39">
        <v>0</v>
      </c>
      <c r="B39">
        <v>275</v>
      </c>
      <c r="C39">
        <v>100</v>
      </c>
      <c r="D39">
        <v>4</v>
      </c>
      <c r="E39">
        <v>0</v>
      </c>
      <c r="I39" t="s">
        <v>114</v>
      </c>
      <c r="L39" s="28"/>
      <c r="M39" s="5"/>
      <c r="N39" s="5"/>
      <c r="O39" s="18"/>
    </row>
    <row r="40" spans="1:15" x14ac:dyDescent="0.15">
      <c r="A40">
        <v>-54</v>
      </c>
      <c r="B40">
        <v>303</v>
      </c>
      <c r="C40">
        <v>100</v>
      </c>
      <c r="D40">
        <v>3</v>
      </c>
      <c r="E40">
        <v>0</v>
      </c>
      <c r="I40" t="s">
        <v>114</v>
      </c>
      <c r="L40" s="29"/>
      <c r="M40" s="6"/>
      <c r="N40" s="5"/>
      <c r="O40" s="18"/>
    </row>
    <row r="41" spans="1:15" x14ac:dyDescent="0.15">
      <c r="A41">
        <v>-1214</v>
      </c>
      <c r="B41">
        <v>-32</v>
      </c>
      <c r="C41">
        <v>100</v>
      </c>
      <c r="D41">
        <v>2</v>
      </c>
      <c r="E41">
        <v>0</v>
      </c>
      <c r="I41" t="s">
        <v>114</v>
      </c>
      <c r="L41" s="30"/>
      <c r="M41" s="6"/>
      <c r="N41" s="5"/>
      <c r="O41" s="18"/>
    </row>
    <row r="42" spans="1:15" x14ac:dyDescent="0.15">
      <c r="A42">
        <v>599</v>
      </c>
      <c r="B42">
        <v>56</v>
      </c>
      <c r="C42">
        <v>100</v>
      </c>
      <c r="D42">
        <v>3</v>
      </c>
      <c r="E42">
        <v>0</v>
      </c>
      <c r="I42" t="s">
        <v>114</v>
      </c>
      <c r="L42" s="26"/>
      <c r="M42" s="6"/>
      <c r="N42" s="18"/>
      <c r="O42" s="18"/>
    </row>
    <row r="43" spans="1:15" x14ac:dyDescent="0.15">
      <c r="A43">
        <v>1164</v>
      </c>
      <c r="B43">
        <v>95</v>
      </c>
      <c r="C43">
        <v>100</v>
      </c>
      <c r="D43">
        <v>1</v>
      </c>
      <c r="E43">
        <v>0</v>
      </c>
      <c r="I43" t="s">
        <v>115</v>
      </c>
      <c r="L43" s="26"/>
      <c r="M43" s="6"/>
      <c r="N43" s="5"/>
      <c r="O43" s="18"/>
    </row>
    <row r="44" spans="1:15" x14ac:dyDescent="0.15">
      <c r="A44">
        <v>-864</v>
      </c>
      <c r="B44">
        <v>-257</v>
      </c>
      <c r="C44">
        <v>100</v>
      </c>
      <c r="D44">
        <v>3</v>
      </c>
      <c r="E44">
        <v>0</v>
      </c>
      <c r="I44" t="s">
        <v>116</v>
      </c>
      <c r="L44" s="26"/>
      <c r="M44" s="6"/>
      <c r="N44" s="5"/>
      <c r="O44" s="18"/>
    </row>
    <row r="45" spans="1:15" ht="13.5" customHeight="1" x14ac:dyDescent="0.15">
      <c r="A45">
        <v>-1108</v>
      </c>
      <c r="B45">
        <v>-301</v>
      </c>
      <c r="C45">
        <v>100</v>
      </c>
      <c r="D45">
        <v>1</v>
      </c>
      <c r="E45">
        <v>0</v>
      </c>
      <c r="I45" t="s">
        <v>117</v>
      </c>
      <c r="L45" s="15"/>
      <c r="M45" s="6"/>
      <c r="N45" s="5"/>
      <c r="O45" s="8"/>
    </row>
    <row r="46" spans="1:15" ht="13.5" customHeight="1" x14ac:dyDescent="0.15">
      <c r="A46">
        <v>1065</v>
      </c>
      <c r="B46">
        <v>-318</v>
      </c>
      <c r="C46">
        <v>100</v>
      </c>
      <c r="D46">
        <v>3</v>
      </c>
      <c r="E46">
        <v>0</v>
      </c>
      <c r="I46" t="s">
        <v>118</v>
      </c>
      <c r="J46" t="s">
        <v>122</v>
      </c>
      <c r="L46" s="15"/>
      <c r="M46" s="6"/>
      <c r="N46" s="5"/>
      <c r="O46" s="8"/>
    </row>
    <row r="47" spans="1:15" x14ac:dyDescent="0.15">
      <c r="A47">
        <v>1251</v>
      </c>
      <c r="B47">
        <v>-342</v>
      </c>
      <c r="C47">
        <v>100</v>
      </c>
      <c r="D47">
        <v>1</v>
      </c>
      <c r="E47">
        <v>0</v>
      </c>
      <c r="I47" t="s">
        <v>115</v>
      </c>
      <c r="L47" s="26"/>
      <c r="M47" s="6"/>
      <c r="N47" s="6"/>
      <c r="O47" s="8"/>
    </row>
    <row r="48" spans="1:15" x14ac:dyDescent="0.15">
      <c r="A48">
        <v>-972</v>
      </c>
      <c r="B48">
        <v>-182</v>
      </c>
      <c r="C48">
        <v>100</v>
      </c>
      <c r="D48">
        <v>3</v>
      </c>
      <c r="E48">
        <v>0</v>
      </c>
      <c r="I48" t="s">
        <v>116</v>
      </c>
      <c r="N48" s="7"/>
      <c r="O48" s="8"/>
    </row>
    <row r="49" spans="1:18" x14ac:dyDescent="0.15">
      <c r="A49">
        <v>-1270</v>
      </c>
      <c r="B49">
        <v>-162</v>
      </c>
      <c r="C49">
        <v>100</v>
      </c>
      <c r="D49">
        <v>1</v>
      </c>
      <c r="E49">
        <v>0</v>
      </c>
      <c r="I49" t="s">
        <v>117</v>
      </c>
      <c r="N49" s="7"/>
      <c r="O49" s="8"/>
    </row>
    <row r="50" spans="1:18" x14ac:dyDescent="0.15">
      <c r="A50">
        <v>669</v>
      </c>
      <c r="B50">
        <v>-223</v>
      </c>
      <c r="C50">
        <v>100</v>
      </c>
      <c r="D50">
        <v>3</v>
      </c>
      <c r="E50">
        <v>0</v>
      </c>
      <c r="I50" t="s">
        <v>118</v>
      </c>
      <c r="J50" t="s">
        <v>124</v>
      </c>
      <c r="N50" s="7"/>
      <c r="O50" s="8"/>
    </row>
    <row r="51" spans="1:18" x14ac:dyDescent="0.15">
      <c r="A51">
        <v>1212</v>
      </c>
      <c r="B51">
        <v>-231</v>
      </c>
      <c r="C51">
        <v>100</v>
      </c>
      <c r="D51">
        <v>1</v>
      </c>
      <c r="E51">
        <v>0</v>
      </c>
      <c r="I51" t="s">
        <v>115</v>
      </c>
      <c r="N51" s="7"/>
      <c r="O51" s="8"/>
      <c r="Q51" s="7"/>
    </row>
    <row r="52" spans="1:18" x14ac:dyDescent="0.15">
      <c r="A52">
        <v>-918</v>
      </c>
      <c r="B52">
        <v>216</v>
      </c>
      <c r="C52">
        <v>100</v>
      </c>
      <c r="D52">
        <v>3</v>
      </c>
      <c r="E52">
        <v>0</v>
      </c>
      <c r="I52" t="s">
        <v>116</v>
      </c>
      <c r="N52" s="7"/>
      <c r="O52" s="8"/>
      <c r="Q52" s="7"/>
      <c r="R52" s="5"/>
    </row>
    <row r="53" spans="1:18" ht="13.5" customHeight="1" x14ac:dyDescent="0.15">
      <c r="A53">
        <v>-1258</v>
      </c>
      <c r="B53">
        <v>258</v>
      </c>
      <c r="C53">
        <v>100</v>
      </c>
      <c r="D53">
        <v>1</v>
      </c>
      <c r="E53">
        <v>0</v>
      </c>
      <c r="I53" t="s">
        <v>117</v>
      </c>
      <c r="L53" s="10"/>
      <c r="N53" s="7"/>
      <c r="O53" s="8"/>
    </row>
    <row r="54" spans="1:18" x14ac:dyDescent="0.15">
      <c r="A54">
        <v>476</v>
      </c>
      <c r="B54">
        <v>-130</v>
      </c>
      <c r="C54">
        <v>100</v>
      </c>
      <c r="D54">
        <v>3</v>
      </c>
      <c r="E54">
        <v>0</v>
      </c>
      <c r="I54" t="s">
        <v>118</v>
      </c>
      <c r="J54" t="s">
        <v>124</v>
      </c>
      <c r="N54" s="7"/>
      <c r="O54" s="8"/>
    </row>
    <row r="55" spans="1:18" x14ac:dyDescent="0.15">
      <c r="A55">
        <v>1154</v>
      </c>
      <c r="B55">
        <v>-387</v>
      </c>
      <c r="C55">
        <v>100</v>
      </c>
      <c r="D55">
        <v>1</v>
      </c>
      <c r="E55">
        <v>0</v>
      </c>
      <c r="I55" t="s">
        <v>115</v>
      </c>
      <c r="N55" s="7"/>
      <c r="O55" s="8"/>
    </row>
    <row r="56" spans="1:18" ht="13.5" customHeight="1" x14ac:dyDescent="0.15">
      <c r="A56">
        <v>-1141</v>
      </c>
      <c r="B56">
        <v>58</v>
      </c>
      <c r="C56">
        <v>100</v>
      </c>
      <c r="D56">
        <v>3</v>
      </c>
      <c r="E56">
        <v>0</v>
      </c>
      <c r="I56" t="s">
        <v>116</v>
      </c>
      <c r="L56" s="10"/>
      <c r="N56" s="7"/>
      <c r="O56" s="8"/>
    </row>
    <row r="57" spans="1:18" ht="13.5" customHeight="1" x14ac:dyDescent="0.15">
      <c r="A57">
        <v>-1255</v>
      </c>
      <c r="B57">
        <v>69</v>
      </c>
      <c r="C57">
        <v>100</v>
      </c>
      <c r="D57">
        <v>1</v>
      </c>
      <c r="E57">
        <v>0</v>
      </c>
      <c r="I57" t="s">
        <v>117</v>
      </c>
      <c r="L57" s="10"/>
    </row>
    <row r="58" spans="1:18" ht="13.5" customHeight="1" x14ac:dyDescent="0.15">
      <c r="A58">
        <v>0</v>
      </c>
      <c r="B58">
        <v>305</v>
      </c>
      <c r="C58">
        <v>100</v>
      </c>
      <c r="D58">
        <v>4</v>
      </c>
      <c r="E58">
        <v>0</v>
      </c>
      <c r="I58" t="s">
        <v>120</v>
      </c>
      <c r="L58" s="10"/>
    </row>
    <row r="59" spans="1:18" x14ac:dyDescent="0.15">
      <c r="A59">
        <v>-41</v>
      </c>
      <c r="B59">
        <v>323</v>
      </c>
      <c r="C59">
        <v>100</v>
      </c>
      <c r="D59">
        <v>3</v>
      </c>
      <c r="E59">
        <v>0</v>
      </c>
      <c r="I59" t="s">
        <v>121</v>
      </c>
      <c r="M59" s="20"/>
      <c r="N59" s="3"/>
    </row>
    <row r="60" spans="1:18" x14ac:dyDescent="0.15">
      <c r="A60">
        <v>-1218</v>
      </c>
      <c r="B60">
        <v>46</v>
      </c>
      <c r="C60">
        <v>100</v>
      </c>
      <c r="D60">
        <v>2</v>
      </c>
      <c r="E60">
        <v>0</v>
      </c>
      <c r="I60" t="s">
        <v>114</v>
      </c>
      <c r="M60" s="22"/>
      <c r="N60" s="3"/>
    </row>
    <row r="61" spans="1:18" x14ac:dyDescent="0.15">
      <c r="A61">
        <v>599</v>
      </c>
      <c r="B61">
        <v>-370</v>
      </c>
      <c r="C61">
        <v>100</v>
      </c>
      <c r="D61">
        <v>3</v>
      </c>
      <c r="E61">
        <v>0</v>
      </c>
      <c r="I61" t="s">
        <v>114</v>
      </c>
      <c r="N61" s="48"/>
      <c r="O61" s="48"/>
    </row>
    <row r="62" spans="1:18" x14ac:dyDescent="0.15">
      <c r="A62">
        <v>1192</v>
      </c>
      <c r="B62">
        <v>-578</v>
      </c>
      <c r="C62">
        <v>100</v>
      </c>
      <c r="D62">
        <v>1</v>
      </c>
      <c r="E62">
        <v>0</v>
      </c>
      <c r="I62" t="s">
        <v>115</v>
      </c>
      <c r="L62" s="46"/>
      <c r="M62" s="47"/>
      <c r="N62" s="48"/>
      <c r="O62" s="48"/>
    </row>
    <row r="63" spans="1:18" x14ac:dyDescent="0.15">
      <c r="A63">
        <v>-558</v>
      </c>
      <c r="B63">
        <v>-426</v>
      </c>
      <c r="C63">
        <v>100</v>
      </c>
      <c r="D63">
        <v>3</v>
      </c>
      <c r="E63">
        <v>0</v>
      </c>
      <c r="I63" t="s">
        <v>119</v>
      </c>
      <c r="L63" s="46"/>
      <c r="M63" s="47"/>
      <c r="N63" s="22"/>
    </row>
    <row r="64" spans="1:18" x14ac:dyDescent="0.15">
      <c r="A64">
        <v>-1216</v>
      </c>
      <c r="B64">
        <v>-28</v>
      </c>
      <c r="C64">
        <v>100</v>
      </c>
      <c r="D64">
        <v>2</v>
      </c>
      <c r="E64">
        <v>0</v>
      </c>
      <c r="I64" t="s">
        <v>114</v>
      </c>
    </row>
    <row r="65" spans="1:12" x14ac:dyDescent="0.15">
      <c r="A65">
        <v>600</v>
      </c>
      <c r="B65">
        <v>22</v>
      </c>
      <c r="C65">
        <v>100</v>
      </c>
      <c r="D65">
        <v>3</v>
      </c>
      <c r="E65">
        <v>0</v>
      </c>
      <c r="I65" t="s">
        <v>114</v>
      </c>
    </row>
    <row r="66" spans="1:12" x14ac:dyDescent="0.15">
      <c r="A66">
        <v>1214</v>
      </c>
      <c r="B66">
        <v>43</v>
      </c>
      <c r="C66">
        <v>100</v>
      </c>
      <c r="D66">
        <v>1</v>
      </c>
      <c r="E66">
        <v>0</v>
      </c>
      <c r="I66" t="s">
        <v>115</v>
      </c>
    </row>
    <row r="67" spans="1:12" x14ac:dyDescent="0.15">
      <c r="A67">
        <v>-617</v>
      </c>
      <c r="B67">
        <v>-58</v>
      </c>
      <c r="C67">
        <v>100</v>
      </c>
      <c r="D67">
        <v>3</v>
      </c>
      <c r="E67">
        <v>0</v>
      </c>
      <c r="I67" t="s">
        <v>116</v>
      </c>
    </row>
    <row r="68" spans="1:12" x14ac:dyDescent="0.15">
      <c r="A68">
        <v>-955</v>
      </c>
      <c r="B68">
        <v>-93</v>
      </c>
      <c r="C68">
        <v>100</v>
      </c>
      <c r="D68">
        <v>1</v>
      </c>
      <c r="E68">
        <v>0</v>
      </c>
      <c r="I68" t="s">
        <v>117</v>
      </c>
    </row>
    <row r="69" spans="1:12" x14ac:dyDescent="0.15">
      <c r="A69">
        <v>361</v>
      </c>
      <c r="B69">
        <v>-160</v>
      </c>
      <c r="C69">
        <v>100</v>
      </c>
      <c r="D69">
        <v>3</v>
      </c>
      <c r="E69">
        <v>0</v>
      </c>
      <c r="I69" t="s">
        <v>118</v>
      </c>
      <c r="J69" t="s">
        <v>124</v>
      </c>
    </row>
    <row r="70" spans="1:12" x14ac:dyDescent="0.15">
      <c r="A70">
        <v>600</v>
      </c>
      <c r="B70">
        <v>-197</v>
      </c>
      <c r="C70">
        <v>100</v>
      </c>
      <c r="D70">
        <v>1</v>
      </c>
      <c r="E70">
        <v>0</v>
      </c>
      <c r="I70" t="s">
        <v>115</v>
      </c>
      <c r="L70" s="10"/>
    </row>
    <row r="71" spans="1:12" x14ac:dyDescent="0.15">
      <c r="A71">
        <v>-563</v>
      </c>
      <c r="B71">
        <v>201</v>
      </c>
      <c r="C71">
        <v>100</v>
      </c>
      <c r="D71">
        <v>1</v>
      </c>
      <c r="E71">
        <v>0</v>
      </c>
      <c r="I71" t="s">
        <v>114</v>
      </c>
    </row>
    <row r="72" spans="1:12" x14ac:dyDescent="0.15">
      <c r="A72">
        <v>273</v>
      </c>
      <c r="B72">
        <v>121</v>
      </c>
      <c r="C72">
        <v>100</v>
      </c>
      <c r="D72">
        <v>3</v>
      </c>
      <c r="E72">
        <v>0</v>
      </c>
      <c r="I72" t="s">
        <v>114</v>
      </c>
    </row>
    <row r="73" spans="1:12" x14ac:dyDescent="0.15">
      <c r="A73">
        <v>444</v>
      </c>
      <c r="B73">
        <v>95</v>
      </c>
      <c r="C73">
        <v>100</v>
      </c>
      <c r="D73">
        <v>1</v>
      </c>
      <c r="E73">
        <v>0</v>
      </c>
      <c r="I73" t="s">
        <v>115</v>
      </c>
    </row>
    <row r="74" spans="1:12" x14ac:dyDescent="0.15">
      <c r="A74">
        <v>-965</v>
      </c>
      <c r="B74">
        <v>-305</v>
      </c>
      <c r="C74">
        <v>100</v>
      </c>
      <c r="D74">
        <v>3</v>
      </c>
      <c r="E74">
        <v>0</v>
      </c>
      <c r="I74" t="s">
        <v>116</v>
      </c>
    </row>
    <row r="75" spans="1:12" x14ac:dyDescent="0.15">
      <c r="A75">
        <v>-1249</v>
      </c>
      <c r="B75">
        <v>-400</v>
      </c>
      <c r="C75">
        <v>100</v>
      </c>
      <c r="D75">
        <v>3</v>
      </c>
      <c r="E75">
        <v>0</v>
      </c>
      <c r="I75" t="s">
        <v>114</v>
      </c>
    </row>
    <row r="76" spans="1:12" x14ac:dyDescent="0.15">
      <c r="A76">
        <v>-1206</v>
      </c>
      <c r="B76">
        <v>20</v>
      </c>
      <c r="C76">
        <v>100</v>
      </c>
      <c r="D76">
        <v>2</v>
      </c>
      <c r="E76">
        <v>0</v>
      </c>
      <c r="I76" t="s">
        <v>114</v>
      </c>
      <c r="L76" s="10"/>
    </row>
    <row r="77" spans="1:12" x14ac:dyDescent="0.15">
      <c r="A77">
        <v>0</v>
      </c>
      <c r="B77">
        <v>-178</v>
      </c>
      <c r="C77">
        <v>100</v>
      </c>
      <c r="D77">
        <v>4</v>
      </c>
      <c r="E77">
        <v>0</v>
      </c>
      <c r="I77" t="s">
        <v>114</v>
      </c>
      <c r="L77" s="10"/>
    </row>
    <row r="78" spans="1:12" x14ac:dyDescent="0.15">
      <c r="A78">
        <v>-33</v>
      </c>
      <c r="B78">
        <v>-223</v>
      </c>
      <c r="C78">
        <v>100</v>
      </c>
      <c r="D78">
        <v>3</v>
      </c>
      <c r="E78">
        <v>0</v>
      </c>
      <c r="I78" t="s">
        <v>114</v>
      </c>
    </row>
    <row r="79" spans="1:12" x14ac:dyDescent="0.15">
      <c r="A79">
        <v>-1206</v>
      </c>
      <c r="B79">
        <v>20</v>
      </c>
      <c r="C79">
        <v>100</v>
      </c>
      <c r="D79">
        <v>2</v>
      </c>
      <c r="E79">
        <v>0</v>
      </c>
      <c r="I79" t="s">
        <v>114</v>
      </c>
    </row>
    <row r="80" spans="1:12" x14ac:dyDescent="0.15">
      <c r="A80">
        <v>0</v>
      </c>
      <c r="B80">
        <v>-61</v>
      </c>
      <c r="C80">
        <v>100</v>
      </c>
      <c r="D80">
        <v>4</v>
      </c>
      <c r="E80">
        <v>0</v>
      </c>
      <c r="I80" t="s">
        <v>114</v>
      </c>
      <c r="L80" s="10"/>
    </row>
    <row r="81" spans="1:12" x14ac:dyDescent="0.15">
      <c r="A81">
        <v>569</v>
      </c>
      <c r="B81">
        <v>-56</v>
      </c>
      <c r="C81">
        <v>100</v>
      </c>
      <c r="D81">
        <v>3</v>
      </c>
      <c r="E81">
        <v>0</v>
      </c>
      <c r="I81" t="s">
        <v>114</v>
      </c>
    </row>
    <row r="82" spans="1:12" x14ac:dyDescent="0.15">
      <c r="A82">
        <v>-1206</v>
      </c>
      <c r="B82">
        <v>20</v>
      </c>
      <c r="C82">
        <v>100</v>
      </c>
      <c r="D82">
        <v>2</v>
      </c>
      <c r="E82">
        <v>0</v>
      </c>
      <c r="I82" t="s">
        <v>114</v>
      </c>
    </row>
    <row r="83" spans="1:12" x14ac:dyDescent="0.15">
      <c r="A83">
        <v>578</v>
      </c>
      <c r="B83">
        <v>-231</v>
      </c>
      <c r="C83">
        <v>100</v>
      </c>
      <c r="D83">
        <v>3</v>
      </c>
      <c r="E83">
        <v>0</v>
      </c>
      <c r="I83" t="s">
        <v>114</v>
      </c>
    </row>
    <row r="84" spans="1:12" x14ac:dyDescent="0.15">
      <c r="A84">
        <v>1214</v>
      </c>
      <c r="B84">
        <v>-381</v>
      </c>
      <c r="C84">
        <v>100</v>
      </c>
      <c r="D84">
        <v>1</v>
      </c>
      <c r="E84">
        <v>0</v>
      </c>
      <c r="I84" t="s">
        <v>115</v>
      </c>
    </row>
    <row r="85" spans="1:12" x14ac:dyDescent="0.15">
      <c r="A85">
        <v>-827</v>
      </c>
      <c r="B85">
        <v>-389</v>
      </c>
      <c r="C85">
        <v>100</v>
      </c>
      <c r="D85">
        <v>3</v>
      </c>
      <c r="E85">
        <v>0</v>
      </c>
      <c r="I85" t="s">
        <v>116</v>
      </c>
    </row>
    <row r="86" spans="1:12" x14ac:dyDescent="0.15">
      <c r="A86">
        <v>-1240</v>
      </c>
      <c r="B86">
        <v>-422</v>
      </c>
      <c r="C86">
        <v>100</v>
      </c>
      <c r="D86">
        <v>1</v>
      </c>
      <c r="E86">
        <v>0</v>
      </c>
      <c r="I86" t="s">
        <v>117</v>
      </c>
    </row>
    <row r="87" spans="1:12" x14ac:dyDescent="0.15">
      <c r="A87">
        <v>277</v>
      </c>
      <c r="B87">
        <v>301</v>
      </c>
      <c r="C87">
        <v>100</v>
      </c>
      <c r="D87">
        <v>3</v>
      </c>
      <c r="E87">
        <v>0</v>
      </c>
      <c r="I87" t="s">
        <v>118</v>
      </c>
      <c r="J87" t="s">
        <v>122</v>
      </c>
    </row>
    <row r="88" spans="1:12" x14ac:dyDescent="0.15">
      <c r="A88">
        <v>558</v>
      </c>
      <c r="B88">
        <v>493</v>
      </c>
      <c r="C88">
        <v>100</v>
      </c>
      <c r="D88">
        <v>1</v>
      </c>
      <c r="E88">
        <v>0</v>
      </c>
      <c r="I88" t="s">
        <v>115</v>
      </c>
    </row>
    <row r="89" spans="1:12" x14ac:dyDescent="0.15">
      <c r="A89">
        <v>-926</v>
      </c>
      <c r="B89">
        <v>296</v>
      </c>
      <c r="C89">
        <v>100</v>
      </c>
      <c r="D89">
        <v>3</v>
      </c>
      <c r="E89">
        <v>0</v>
      </c>
      <c r="I89" t="s">
        <v>116</v>
      </c>
    </row>
    <row r="90" spans="1:12" x14ac:dyDescent="0.15">
      <c r="A90">
        <v>-1361</v>
      </c>
      <c r="B90">
        <v>231</v>
      </c>
      <c r="C90">
        <v>100</v>
      </c>
      <c r="D90">
        <v>3</v>
      </c>
      <c r="E90">
        <v>0</v>
      </c>
      <c r="I90" t="s">
        <v>114</v>
      </c>
    </row>
    <row r="92" spans="1:12" x14ac:dyDescent="0.15">
      <c r="L92" s="10"/>
    </row>
    <row r="93" spans="1:12" x14ac:dyDescent="0.15">
      <c r="L93" s="10"/>
    </row>
    <row r="98" spans="12:14" x14ac:dyDescent="0.15">
      <c r="L98" s="10"/>
    </row>
    <row r="99" spans="12:14" x14ac:dyDescent="0.15">
      <c r="L99" s="10"/>
    </row>
    <row r="100" spans="12:14" x14ac:dyDescent="0.15">
      <c r="L100" s="10"/>
    </row>
    <row r="102" spans="12:14" x14ac:dyDescent="0.15">
      <c r="N102" s="19"/>
    </row>
    <row r="103" spans="12:14" x14ac:dyDescent="0.15">
      <c r="N103" s="17"/>
    </row>
    <row r="127" spans="12:12" x14ac:dyDescent="0.15">
      <c r="L127" s="10"/>
    </row>
    <row r="134" spans="12:12" x14ac:dyDescent="0.15">
      <c r="L134" s="10"/>
    </row>
    <row r="151" spans="12:12" x14ac:dyDescent="0.15">
      <c r="L151" s="10"/>
    </row>
    <row r="152" spans="12:12" x14ac:dyDescent="0.15">
      <c r="L152" s="10"/>
    </row>
    <row r="153" spans="12:12" x14ac:dyDescent="0.15">
      <c r="L153" s="10"/>
    </row>
    <row r="160" spans="12:12" x14ac:dyDescent="0.15">
      <c r="L160" s="10"/>
    </row>
    <row r="161" spans="12:12" x14ac:dyDescent="0.15">
      <c r="L161" s="10"/>
    </row>
    <row r="164" spans="12:12" x14ac:dyDescent="0.15">
      <c r="L164" s="10"/>
    </row>
    <row r="165" spans="12:12" x14ac:dyDescent="0.15">
      <c r="L165" s="10"/>
    </row>
    <row r="166" spans="12:12" x14ac:dyDescent="0.15">
      <c r="L166" s="10"/>
    </row>
    <row r="172" spans="12:12" x14ac:dyDescent="0.15">
      <c r="L172" s="10"/>
    </row>
    <row r="173" spans="12:12" x14ac:dyDescent="0.15">
      <c r="L173" s="10"/>
    </row>
    <row r="174" spans="12:12" x14ac:dyDescent="0.15">
      <c r="L174" s="10"/>
    </row>
    <row r="175" spans="12:12" x14ac:dyDescent="0.15">
      <c r="L175" s="10"/>
    </row>
    <row r="176" spans="12:12" x14ac:dyDescent="0.15">
      <c r="L176" s="10"/>
    </row>
    <row r="177" spans="12:12" x14ac:dyDescent="0.15">
      <c r="L177" s="10"/>
    </row>
    <row r="182" spans="12:12" x14ac:dyDescent="0.15">
      <c r="L182" s="10"/>
    </row>
    <row r="183" spans="12:12" x14ac:dyDescent="0.15">
      <c r="L183" s="10"/>
    </row>
    <row r="202" spans="12:12" x14ac:dyDescent="0.15">
      <c r="L202" s="10"/>
    </row>
    <row r="203" spans="12:12" x14ac:dyDescent="0.15">
      <c r="L203" s="10"/>
    </row>
    <row r="208" spans="12:12" x14ac:dyDescent="0.15">
      <c r="L208" s="10"/>
    </row>
    <row r="209" spans="12:12" x14ac:dyDescent="0.15">
      <c r="L209" s="10"/>
    </row>
    <row r="222" spans="12:12" x14ac:dyDescent="0.15">
      <c r="L222" s="10"/>
    </row>
    <row r="223" spans="12:12" x14ac:dyDescent="0.15">
      <c r="L223" s="10"/>
    </row>
    <row r="224" spans="12:12" x14ac:dyDescent="0.15">
      <c r="L224" s="10"/>
    </row>
    <row r="229" spans="12:12" x14ac:dyDescent="0.15">
      <c r="L229" s="10"/>
    </row>
    <row r="238" spans="12:12" x14ac:dyDescent="0.15">
      <c r="L238" s="10"/>
    </row>
    <row r="239" spans="12:12" x14ac:dyDescent="0.15">
      <c r="L239" s="10"/>
    </row>
    <row r="240" spans="12:12" x14ac:dyDescent="0.15">
      <c r="L240" s="10"/>
    </row>
    <row r="258" spans="12:12" x14ac:dyDescent="0.15">
      <c r="L258" s="10"/>
    </row>
    <row r="259" spans="12:12" x14ac:dyDescent="0.15">
      <c r="L259" s="10"/>
    </row>
    <row r="260" spans="12:12" x14ac:dyDescent="0.15">
      <c r="L260" s="10"/>
    </row>
    <row r="261" spans="12:12" x14ac:dyDescent="0.15">
      <c r="L261" s="10"/>
    </row>
    <row r="262" spans="12:12" x14ac:dyDescent="0.15">
      <c r="L262" s="10"/>
    </row>
    <row r="287" spans="12:12" x14ac:dyDescent="0.15">
      <c r="L287" s="10"/>
    </row>
    <row r="288" spans="12:12" x14ac:dyDescent="0.15">
      <c r="L288" s="10"/>
    </row>
    <row r="291" spans="12:12" x14ac:dyDescent="0.15">
      <c r="L291" s="10"/>
    </row>
    <row r="294" spans="12:12" x14ac:dyDescent="0.15">
      <c r="L294" s="10"/>
    </row>
    <row r="295" spans="12:12" x14ac:dyDescent="0.15">
      <c r="L295" s="10"/>
    </row>
    <row r="296" spans="12:12" x14ac:dyDescent="0.15">
      <c r="L296" s="10"/>
    </row>
    <row r="297" spans="12:12" x14ac:dyDescent="0.15">
      <c r="L297" s="10"/>
    </row>
    <row r="298" spans="12:12" x14ac:dyDescent="0.15">
      <c r="L298" s="10"/>
    </row>
    <row r="299" spans="12:12" x14ac:dyDescent="0.15">
      <c r="L299" s="10"/>
    </row>
    <row r="300" spans="12:12" x14ac:dyDescent="0.15">
      <c r="L300" s="10"/>
    </row>
    <row r="303" spans="12:12" x14ac:dyDescent="0.15">
      <c r="L303" s="10"/>
    </row>
    <row r="304" spans="12:12" x14ac:dyDescent="0.15">
      <c r="L304" s="10"/>
    </row>
    <row r="305" spans="12:12" x14ac:dyDescent="0.15">
      <c r="L305" s="10"/>
    </row>
    <row r="306" spans="12:12" x14ac:dyDescent="0.15">
      <c r="L306" s="10"/>
    </row>
    <row r="307" spans="12:12" x14ac:dyDescent="0.15">
      <c r="L307" s="10"/>
    </row>
    <row r="308" spans="12:12" x14ac:dyDescent="0.15">
      <c r="L308" s="10"/>
    </row>
    <row r="309" spans="12:12" x14ac:dyDescent="0.15">
      <c r="L309" s="10"/>
    </row>
    <row r="310" spans="12:12" x14ac:dyDescent="0.15">
      <c r="L310" s="10"/>
    </row>
    <row r="332" spans="12:12" x14ac:dyDescent="0.15">
      <c r="L332" s="10"/>
    </row>
    <row r="333" spans="12:12" x14ac:dyDescent="0.15">
      <c r="L333" s="10"/>
    </row>
    <row r="336" spans="12:12" x14ac:dyDescent="0.15">
      <c r="L336" s="10"/>
    </row>
    <row r="337" spans="12:12" x14ac:dyDescent="0.15">
      <c r="L337" s="10"/>
    </row>
    <row r="338" spans="12:12" x14ac:dyDescent="0.15">
      <c r="L338" s="10"/>
    </row>
    <row r="339" spans="12:12" x14ac:dyDescent="0.15">
      <c r="L339" s="10"/>
    </row>
    <row r="342" spans="12:12" x14ac:dyDescent="0.15">
      <c r="L342" s="10"/>
    </row>
    <row r="343" spans="12:12" x14ac:dyDescent="0.15">
      <c r="L343" s="10"/>
    </row>
    <row r="344" spans="12:12" x14ac:dyDescent="0.15">
      <c r="L344" s="10"/>
    </row>
    <row r="345" spans="12:12" x14ac:dyDescent="0.15">
      <c r="L345" s="10"/>
    </row>
    <row r="349" spans="12:12" x14ac:dyDescent="0.15">
      <c r="L349" s="10"/>
    </row>
    <row r="350" spans="12:12" x14ac:dyDescent="0.15">
      <c r="L350" s="10"/>
    </row>
    <row r="351" spans="12:12" x14ac:dyDescent="0.15">
      <c r="L351" s="10"/>
    </row>
    <row r="352" spans="12:12" x14ac:dyDescent="0.15">
      <c r="L352" s="10"/>
    </row>
    <row r="355" spans="12:12" x14ac:dyDescent="0.15">
      <c r="L355" s="10"/>
    </row>
    <row r="356" spans="12:12" x14ac:dyDescent="0.15">
      <c r="L356" s="10"/>
    </row>
    <row r="357" spans="12:12" x14ac:dyDescent="0.15">
      <c r="L357" s="10"/>
    </row>
    <row r="358" spans="12:12" x14ac:dyDescent="0.15">
      <c r="L358" s="10"/>
    </row>
    <row r="359" spans="12:12" x14ac:dyDescent="0.15">
      <c r="L359" s="10"/>
    </row>
    <row r="375" spans="12:12" x14ac:dyDescent="0.15">
      <c r="L375" s="10"/>
    </row>
    <row r="376" spans="12:12" x14ac:dyDescent="0.15">
      <c r="L376" s="10"/>
    </row>
    <row r="377" spans="12:12" x14ac:dyDescent="0.15">
      <c r="L377" s="10"/>
    </row>
    <row r="378" spans="12:12" x14ac:dyDescent="0.15">
      <c r="L378" s="10"/>
    </row>
    <row r="379" spans="12:12" x14ac:dyDescent="0.15">
      <c r="L379" s="10"/>
    </row>
    <row r="382" spans="12:12" x14ac:dyDescent="0.15">
      <c r="L382" s="10"/>
    </row>
    <row r="383" spans="12:12" x14ac:dyDescent="0.15">
      <c r="L383" s="10"/>
    </row>
    <row r="384" spans="12:12" x14ac:dyDescent="0.15">
      <c r="L384" s="10"/>
    </row>
    <row r="385" spans="12:12" x14ac:dyDescent="0.15">
      <c r="L385" s="10"/>
    </row>
    <row r="386" spans="12:12" x14ac:dyDescent="0.15">
      <c r="L386" s="10"/>
    </row>
    <row r="394" spans="12:12" x14ac:dyDescent="0.15">
      <c r="L394" s="10"/>
    </row>
    <row r="395" spans="12:12" x14ac:dyDescent="0.15">
      <c r="L395" s="10"/>
    </row>
    <row r="398" spans="12:12" x14ac:dyDescent="0.15">
      <c r="L398" s="10"/>
    </row>
    <row r="401" spans="12:12" x14ac:dyDescent="0.15">
      <c r="L401" s="10"/>
    </row>
    <row r="402" spans="12:12" x14ac:dyDescent="0.15">
      <c r="L402" s="10"/>
    </row>
    <row r="407" spans="12:12" x14ac:dyDescent="0.15">
      <c r="L407" s="10"/>
    </row>
    <row r="408" spans="12:12" x14ac:dyDescent="0.15">
      <c r="L408" s="10"/>
    </row>
    <row r="409" spans="12:12" x14ac:dyDescent="0.15">
      <c r="L409" s="10"/>
    </row>
    <row r="410" spans="12:12" x14ac:dyDescent="0.15">
      <c r="L410" s="10"/>
    </row>
    <row r="411" spans="12:12" x14ac:dyDescent="0.15">
      <c r="L411" s="10"/>
    </row>
    <row r="417" spans="12:12" x14ac:dyDescent="0.15">
      <c r="L417" s="10"/>
    </row>
    <row r="418" spans="12:12" x14ac:dyDescent="0.15">
      <c r="L418" s="10"/>
    </row>
    <row r="419" spans="12:12" x14ac:dyDescent="0.15">
      <c r="L419" s="10"/>
    </row>
    <row r="422" spans="12:12" x14ac:dyDescent="0.15">
      <c r="L422" s="10"/>
    </row>
    <row r="423" spans="12:12" x14ac:dyDescent="0.15">
      <c r="L423" s="10"/>
    </row>
    <row r="424" spans="12:12" x14ac:dyDescent="0.15">
      <c r="L424" s="10"/>
    </row>
    <row r="425" spans="12:12" x14ac:dyDescent="0.15">
      <c r="L425" s="10"/>
    </row>
    <row r="430" spans="12:12" x14ac:dyDescent="0.15">
      <c r="L430" s="10"/>
    </row>
    <row r="431" spans="12:12" x14ac:dyDescent="0.15">
      <c r="L431" s="10"/>
    </row>
    <row r="432" spans="12:12" x14ac:dyDescent="0.15">
      <c r="L432" s="10"/>
    </row>
    <row r="433" spans="12:12" x14ac:dyDescent="0.15">
      <c r="L433" s="10"/>
    </row>
    <row r="436" spans="12:12" x14ac:dyDescent="0.15">
      <c r="L436" s="10"/>
    </row>
    <row r="437" spans="12:12" x14ac:dyDescent="0.15">
      <c r="L437" s="10"/>
    </row>
    <row r="441" spans="12:12" x14ac:dyDescent="0.15">
      <c r="L441" s="10"/>
    </row>
    <row r="442" spans="12:12" x14ac:dyDescent="0.15">
      <c r="L442" s="10"/>
    </row>
    <row r="449" spans="12:12" x14ac:dyDescent="0.15">
      <c r="L449" s="10"/>
    </row>
    <row r="450" spans="12:12" x14ac:dyDescent="0.15">
      <c r="L450" s="10"/>
    </row>
    <row r="451" spans="12:12" x14ac:dyDescent="0.15">
      <c r="L451" s="10"/>
    </row>
    <row r="452" spans="12:12" x14ac:dyDescent="0.15">
      <c r="L452" s="10"/>
    </row>
    <row r="453" spans="12:12" x14ac:dyDescent="0.15">
      <c r="L453" s="10"/>
    </row>
    <row r="459" spans="12:12" x14ac:dyDescent="0.15">
      <c r="L459" s="10"/>
    </row>
    <row r="460" spans="12:12" x14ac:dyDescent="0.15">
      <c r="L460" s="10"/>
    </row>
    <row r="469" spans="12:12" x14ac:dyDescent="0.15">
      <c r="L469" s="10"/>
    </row>
    <row r="470" spans="12:12" x14ac:dyDescent="0.15">
      <c r="L470" s="10"/>
    </row>
    <row r="473" spans="12:12" x14ac:dyDescent="0.15">
      <c r="L473" s="10"/>
    </row>
    <row r="476" spans="12:12" x14ac:dyDescent="0.15">
      <c r="L476" s="10"/>
    </row>
    <row r="482" spans="12:12" x14ac:dyDescent="0.15">
      <c r="L482" s="10"/>
    </row>
    <row r="483" spans="12:12" x14ac:dyDescent="0.15">
      <c r="L483" s="10"/>
    </row>
    <row r="486" spans="12:12" x14ac:dyDescent="0.15">
      <c r="L486" s="10"/>
    </row>
    <row r="487" spans="12:12" x14ac:dyDescent="0.15">
      <c r="L487" s="10"/>
    </row>
    <row r="488" spans="12:12" x14ac:dyDescent="0.15">
      <c r="L488" s="10"/>
    </row>
    <row r="493" spans="12:12" x14ac:dyDescent="0.15">
      <c r="L493" s="10"/>
    </row>
    <row r="504" spans="12:12" x14ac:dyDescent="0.15">
      <c r="L504" s="10"/>
    </row>
    <row r="505" spans="12:12" x14ac:dyDescent="0.15">
      <c r="L505" s="10"/>
    </row>
    <row r="508" spans="12:12" x14ac:dyDescent="0.15">
      <c r="L508" s="10"/>
    </row>
    <row r="509" spans="12:12" x14ac:dyDescent="0.15">
      <c r="L509" s="10"/>
    </row>
    <row r="512" spans="12:12" x14ac:dyDescent="0.15">
      <c r="L512" s="10"/>
    </row>
    <row r="522" spans="12:12" x14ac:dyDescent="0.15">
      <c r="L522" s="10"/>
    </row>
    <row r="523" spans="12:12" x14ac:dyDescent="0.15">
      <c r="L523" s="10"/>
    </row>
    <row r="524" spans="12:12" x14ac:dyDescent="0.15">
      <c r="L524" s="10"/>
    </row>
    <row r="525" spans="12:12" x14ac:dyDescent="0.15">
      <c r="L525" s="10"/>
    </row>
    <row r="531" spans="12:12" x14ac:dyDescent="0.15">
      <c r="L531" s="10"/>
    </row>
    <row r="551" spans="12:12" x14ac:dyDescent="0.15">
      <c r="L551" s="10"/>
    </row>
    <row r="552" spans="12:12" x14ac:dyDescent="0.15">
      <c r="L552" s="10"/>
    </row>
    <row r="563" spans="12:12" x14ac:dyDescent="0.15">
      <c r="L563" s="10"/>
    </row>
    <row r="567" spans="12:12" x14ac:dyDescent="0.15">
      <c r="L567" s="10"/>
    </row>
    <row r="573" spans="12:12" x14ac:dyDescent="0.15">
      <c r="L573" s="10"/>
    </row>
    <row r="574" spans="12:12" x14ac:dyDescent="0.15">
      <c r="L574" s="10"/>
    </row>
    <row r="575" spans="12:12" x14ac:dyDescent="0.15">
      <c r="L575" s="10"/>
    </row>
    <row r="576" spans="12:12" x14ac:dyDescent="0.15">
      <c r="L576" s="10"/>
    </row>
    <row r="585" spans="12:12" x14ac:dyDescent="0.15">
      <c r="L585" s="10"/>
    </row>
    <row r="586" spans="12:12" x14ac:dyDescent="0.15">
      <c r="L586" s="10"/>
    </row>
    <row r="589" spans="12:12" x14ac:dyDescent="0.15">
      <c r="L589" s="10"/>
    </row>
    <row r="590" spans="12:12" x14ac:dyDescent="0.15">
      <c r="L590" s="10"/>
    </row>
    <row r="593" spans="12:12" x14ac:dyDescent="0.15">
      <c r="L593" s="10"/>
    </row>
    <row r="596" spans="12:12" x14ac:dyDescent="0.15">
      <c r="L596" s="10"/>
    </row>
    <row r="599" spans="12:12" x14ac:dyDescent="0.15">
      <c r="L599" s="10"/>
    </row>
    <row r="600" spans="12:12" x14ac:dyDescent="0.15">
      <c r="L600" s="10"/>
    </row>
    <row r="613" spans="12:12" x14ac:dyDescent="0.15">
      <c r="L613" s="10"/>
    </row>
    <row r="616" spans="12:12" x14ac:dyDescent="0.15">
      <c r="L616" s="10"/>
    </row>
    <row r="617" spans="12:12" x14ac:dyDescent="0.15">
      <c r="L617" s="10"/>
    </row>
    <row r="623" spans="12:12" x14ac:dyDescent="0.15">
      <c r="L623" s="10"/>
    </row>
    <row r="628" spans="12:12" x14ac:dyDescent="0.15">
      <c r="L628" s="10"/>
    </row>
    <row r="631" spans="12:12" x14ac:dyDescent="0.15">
      <c r="L631" s="10"/>
    </row>
    <row r="632" spans="12:12" x14ac:dyDescent="0.15">
      <c r="L632" s="10"/>
    </row>
    <row r="633" spans="12:12" x14ac:dyDescent="0.15">
      <c r="L633" s="10"/>
    </row>
    <row r="634" spans="12:12" x14ac:dyDescent="0.15">
      <c r="L634" s="10"/>
    </row>
    <row r="635" spans="12:12" x14ac:dyDescent="0.15">
      <c r="L635" s="10"/>
    </row>
    <row r="636" spans="12:12" x14ac:dyDescent="0.15">
      <c r="L636" s="10"/>
    </row>
    <row r="637" spans="12:12" x14ac:dyDescent="0.15">
      <c r="L637" s="10"/>
    </row>
    <row r="643" spans="12:12" x14ac:dyDescent="0.15">
      <c r="L643" s="10"/>
    </row>
    <row r="646" spans="12:12" x14ac:dyDescent="0.15">
      <c r="L646" s="10"/>
    </row>
    <row r="647" spans="12:12" x14ac:dyDescent="0.15">
      <c r="L647" s="10"/>
    </row>
    <row r="662" spans="12:12" x14ac:dyDescent="0.15">
      <c r="L662" s="10"/>
    </row>
    <row r="663" spans="12:12" x14ac:dyDescent="0.15">
      <c r="L663" s="10"/>
    </row>
    <row r="664" spans="12:12" x14ac:dyDescent="0.15">
      <c r="L664" s="10"/>
    </row>
    <row r="665" spans="12:12" x14ac:dyDescent="0.15">
      <c r="L665" s="10"/>
    </row>
    <row r="674" spans="12:12" x14ac:dyDescent="0.15">
      <c r="L674" s="10"/>
    </row>
    <row r="679" spans="12:12" x14ac:dyDescent="0.15">
      <c r="L679" s="10"/>
    </row>
    <row r="684" spans="12:12" x14ac:dyDescent="0.15">
      <c r="L684" s="10"/>
    </row>
    <row r="687" spans="12:12" x14ac:dyDescent="0.15">
      <c r="L687" s="10"/>
    </row>
    <row r="690" spans="12:12" x14ac:dyDescent="0.15">
      <c r="L690" s="10"/>
    </row>
    <row r="691" spans="12:12" x14ac:dyDescent="0.15">
      <c r="L691" s="10"/>
    </row>
    <row r="692" spans="12:12" x14ac:dyDescent="0.15">
      <c r="L692" s="10"/>
    </row>
    <row r="693" spans="12:12" x14ac:dyDescent="0.15">
      <c r="L693" s="10"/>
    </row>
    <row r="694" spans="12:12" x14ac:dyDescent="0.15">
      <c r="L694" s="10"/>
    </row>
    <row r="721" spans="12:12" x14ac:dyDescent="0.15">
      <c r="L721" s="10"/>
    </row>
    <row r="722" spans="12:12" x14ac:dyDescent="0.15">
      <c r="L722" s="10"/>
    </row>
    <row r="723" spans="12:12" x14ac:dyDescent="0.15">
      <c r="L723" s="10"/>
    </row>
    <row r="726" spans="12:12" x14ac:dyDescent="0.15">
      <c r="L726" s="10"/>
    </row>
    <row r="727" spans="12:12" x14ac:dyDescent="0.15">
      <c r="L727" s="10"/>
    </row>
    <row r="728" spans="12:12" x14ac:dyDescent="0.15">
      <c r="L728" s="10"/>
    </row>
    <row r="729" spans="12:12" x14ac:dyDescent="0.15">
      <c r="L729" s="10"/>
    </row>
    <row r="730" spans="12:12" x14ac:dyDescent="0.15">
      <c r="L730" s="10"/>
    </row>
    <row r="731" spans="12:12" x14ac:dyDescent="0.15">
      <c r="L731" s="10"/>
    </row>
    <row r="732" spans="12:12" x14ac:dyDescent="0.15">
      <c r="L732" s="10"/>
    </row>
    <row r="733" spans="12:12" x14ac:dyDescent="0.15">
      <c r="L733" s="10"/>
    </row>
    <row r="740" spans="12:12" x14ac:dyDescent="0.15">
      <c r="L740" s="10"/>
    </row>
    <row r="759" spans="12:12" x14ac:dyDescent="0.15">
      <c r="L759" s="10"/>
    </row>
    <row r="760" spans="12:12" x14ac:dyDescent="0.15">
      <c r="L760" s="10"/>
    </row>
    <row r="761" spans="12:12" x14ac:dyDescent="0.15">
      <c r="L761" s="10"/>
    </row>
    <row r="762" spans="12:12" x14ac:dyDescent="0.15">
      <c r="L762" s="10"/>
    </row>
    <row r="763" spans="12:12" x14ac:dyDescent="0.15">
      <c r="L763" s="10"/>
    </row>
    <row r="766" spans="12:12" x14ac:dyDescent="0.15">
      <c r="L766" s="10"/>
    </row>
    <row r="771" spans="12:12" x14ac:dyDescent="0.15">
      <c r="L771" s="10"/>
    </row>
    <row r="772" spans="12:12" x14ac:dyDescent="0.15">
      <c r="L772" s="10"/>
    </row>
    <row r="777" spans="12:12" x14ac:dyDescent="0.15">
      <c r="L777" s="10"/>
    </row>
    <row r="778" spans="12:12" x14ac:dyDescent="0.15">
      <c r="L778" s="10"/>
    </row>
    <row r="779" spans="12:12" x14ac:dyDescent="0.15">
      <c r="L779" s="10"/>
    </row>
    <row r="783" spans="12:12" x14ac:dyDescent="0.15">
      <c r="L783" s="10"/>
    </row>
    <row r="786" spans="12:12" x14ac:dyDescent="0.15">
      <c r="L786" s="10"/>
    </row>
    <row r="787" spans="12:12" x14ac:dyDescent="0.15">
      <c r="L787" s="10"/>
    </row>
    <row r="792" spans="12:12" x14ac:dyDescent="0.15">
      <c r="L792" s="10"/>
    </row>
    <row r="793" spans="12:12" x14ac:dyDescent="0.15">
      <c r="L793" s="10"/>
    </row>
    <row r="797" spans="12:12" x14ac:dyDescent="0.15">
      <c r="L797" s="10"/>
    </row>
    <row r="803" spans="12:12" x14ac:dyDescent="0.15">
      <c r="L803" s="10"/>
    </row>
    <row r="804" spans="12:12" x14ac:dyDescent="0.15">
      <c r="L804" s="10"/>
    </row>
    <row r="805" spans="12:12" x14ac:dyDescent="0.15">
      <c r="L805" s="10"/>
    </row>
    <row r="806" spans="12:12" x14ac:dyDescent="0.15">
      <c r="L806" s="10"/>
    </row>
    <row r="807" spans="12:12" x14ac:dyDescent="0.15">
      <c r="L807" s="10"/>
    </row>
    <row r="808" spans="12:12" x14ac:dyDescent="0.15">
      <c r="L808" s="10"/>
    </row>
    <row r="812" spans="12:12" x14ac:dyDescent="0.15">
      <c r="L812" s="10"/>
    </row>
    <row r="813" spans="12:12" x14ac:dyDescent="0.15">
      <c r="L813" s="10"/>
    </row>
    <row r="816" spans="12:12" x14ac:dyDescent="0.15">
      <c r="L816" s="10"/>
    </row>
    <row r="817" spans="12:12" x14ac:dyDescent="0.15">
      <c r="L817" s="10"/>
    </row>
    <row r="822" spans="12:12" x14ac:dyDescent="0.15">
      <c r="L822" s="10"/>
    </row>
    <row r="830" spans="12:12" x14ac:dyDescent="0.15">
      <c r="L830" s="10"/>
    </row>
    <row r="831" spans="12:12" x14ac:dyDescent="0.15">
      <c r="L831" s="10"/>
    </row>
    <row r="832" spans="12:12" x14ac:dyDescent="0.15">
      <c r="L832" s="10"/>
    </row>
    <row r="846" spans="12:12" x14ac:dyDescent="0.15">
      <c r="L846" s="10"/>
    </row>
    <row r="847" spans="12:12" x14ac:dyDescent="0.15">
      <c r="L847" s="10"/>
    </row>
    <row r="850" spans="12:12" x14ac:dyDescent="0.15">
      <c r="L850" s="10"/>
    </row>
    <row r="851" spans="12:12" x14ac:dyDescent="0.15">
      <c r="L851" s="10"/>
    </row>
    <row r="854" spans="12:12" x14ac:dyDescent="0.15">
      <c r="L854" s="10"/>
    </row>
    <row r="859" spans="12:12" x14ac:dyDescent="0.15">
      <c r="L859" s="10"/>
    </row>
    <row r="860" spans="12:12" x14ac:dyDescent="0.15">
      <c r="L860" s="10"/>
    </row>
    <row r="861" spans="12:12" x14ac:dyDescent="0.15">
      <c r="L861" s="10"/>
    </row>
    <row r="867" spans="12:12" x14ac:dyDescent="0.15">
      <c r="L867" s="10"/>
    </row>
    <row r="868" spans="12:12" x14ac:dyDescent="0.15">
      <c r="L868" s="10"/>
    </row>
    <row r="869" spans="12:12" x14ac:dyDescent="0.15">
      <c r="L869" s="10"/>
    </row>
    <row r="870" spans="12:12" x14ac:dyDescent="0.15">
      <c r="L870" s="10"/>
    </row>
    <row r="873" spans="12:12" x14ac:dyDescent="0.15">
      <c r="L873" s="10"/>
    </row>
    <row r="874" spans="12:12" x14ac:dyDescent="0.15">
      <c r="L874" s="10"/>
    </row>
    <row r="875" spans="12:12" x14ac:dyDescent="0.15">
      <c r="L875" s="10"/>
    </row>
    <row r="882" spans="12:12" x14ac:dyDescent="0.15">
      <c r="L882" s="10"/>
    </row>
    <row r="883" spans="12:12" x14ac:dyDescent="0.15">
      <c r="L883" s="10"/>
    </row>
    <row r="886" spans="12:12" x14ac:dyDescent="0.15">
      <c r="L886" s="10"/>
    </row>
    <row r="887" spans="12:12" x14ac:dyDescent="0.15">
      <c r="L887" s="10"/>
    </row>
    <row r="888" spans="12:12" x14ac:dyDescent="0.15">
      <c r="L888" s="10"/>
    </row>
    <row r="889" spans="12:12" x14ac:dyDescent="0.15">
      <c r="L889" s="10"/>
    </row>
    <row r="890" spans="12:12" x14ac:dyDescent="0.15">
      <c r="L890" s="10"/>
    </row>
    <row r="893" spans="12:12" x14ac:dyDescent="0.15">
      <c r="L893" s="10"/>
    </row>
    <row r="894" spans="12:12" x14ac:dyDescent="0.15">
      <c r="L894" s="10"/>
    </row>
    <row r="895" spans="12:12" x14ac:dyDescent="0.15">
      <c r="L895" s="10"/>
    </row>
    <row r="896" spans="12:12" x14ac:dyDescent="0.15">
      <c r="L896" s="10"/>
    </row>
    <row r="897" spans="12:12" x14ac:dyDescent="0.15">
      <c r="L897" s="10"/>
    </row>
  </sheetData>
  <mergeCells count="4">
    <mergeCell ref="L62:M62"/>
    <mergeCell ref="L63:M63"/>
    <mergeCell ref="N61:O61"/>
    <mergeCell ref="N62:O62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judge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Drop Down 74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161925</xdr:rowOff>
                  </from>
                  <to>
                    <xdr:col>16</xdr:col>
                    <xdr:colOff>714375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Drop Down 76">
              <controlPr defaultSize="0" autoLine="0" autoPict="0">
                <anchor moveWithCells="1">
                  <from>
                    <xdr:col>14</xdr:col>
                    <xdr:colOff>504825</xdr:colOff>
                    <xdr:row>1</xdr:row>
                    <xdr:rowOff>9525</xdr:rowOff>
                  </from>
                  <to>
                    <xdr:col>17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" name="Drop Down 84">
              <controlPr defaultSize="0" autoLine="0" autoPict="0">
                <anchor moveWithCells="1">
                  <from>
                    <xdr:col>15</xdr:col>
                    <xdr:colOff>0</xdr:colOff>
                    <xdr:row>2</xdr:row>
                    <xdr:rowOff>133350</xdr:rowOff>
                  </from>
                  <to>
                    <xdr:col>16</xdr:col>
                    <xdr:colOff>714375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" name="Option Button 86">
              <controlPr defaultSize="0" autoFill="0" autoLine="0" autoPict="0">
                <anchor moveWithCells="1">
                  <from>
                    <xdr:col>14</xdr:col>
                    <xdr:colOff>514350</xdr:colOff>
                    <xdr:row>5</xdr:row>
                    <xdr:rowOff>19050</xdr:rowOff>
                  </from>
                  <to>
                    <xdr:col>15</xdr:col>
                    <xdr:colOff>714375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" name="Option Button 89">
              <controlPr defaultSize="0" autoFill="0" autoLine="0" autoPict="0">
                <anchor moveWithCells="1">
                  <from>
                    <xdr:col>14</xdr:col>
                    <xdr:colOff>514350</xdr:colOff>
                    <xdr:row>6</xdr:row>
                    <xdr:rowOff>123825</xdr:rowOff>
                  </from>
                  <to>
                    <xdr:col>15</xdr:col>
                    <xdr:colOff>714375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0" name="Option Button 90">
              <controlPr defaultSize="0" autoFill="0" autoLine="0" autoPict="0">
                <anchor moveWithCells="1">
                  <from>
                    <xdr:col>14</xdr:col>
                    <xdr:colOff>514350</xdr:colOff>
                    <xdr:row>8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Group Box 91">
              <controlPr defaultSize="0" autoFill="0" autoPict="0">
                <anchor moveWithCells="1">
                  <from>
                    <xdr:col>14</xdr:col>
                    <xdr:colOff>504825</xdr:colOff>
                    <xdr:row>4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2" name="Option Button 116">
              <controlPr defaultSize="0" autoFill="0" autoLine="0" autoPict="0">
                <anchor moveWithCells="1">
                  <from>
                    <xdr:col>15</xdr:col>
                    <xdr:colOff>723900</xdr:colOff>
                    <xdr:row>5</xdr:row>
                    <xdr:rowOff>28575</xdr:rowOff>
                  </from>
                  <to>
                    <xdr:col>16</xdr:col>
                    <xdr:colOff>695325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Option Button 117">
              <controlPr defaultSize="0" autoFill="0" autoLine="0" autoPict="0">
                <anchor moveWithCells="1">
                  <from>
                    <xdr:col>15</xdr:col>
                    <xdr:colOff>723900</xdr:colOff>
                    <xdr:row>6</xdr:row>
                    <xdr:rowOff>123825</xdr:rowOff>
                  </from>
                  <to>
                    <xdr:col>16</xdr:col>
                    <xdr:colOff>695325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Option Button 118">
              <controlPr defaultSize="0" autoFill="0" autoLine="0" autoPict="0">
                <anchor moveWithCells="1">
                  <from>
                    <xdr:col>15</xdr:col>
                    <xdr:colOff>723900</xdr:colOff>
                    <xdr:row>8</xdr:row>
                    <xdr:rowOff>47625</xdr:rowOff>
                  </from>
                  <to>
                    <xdr:col>16</xdr:col>
                    <xdr:colOff>695325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Group Box 119">
              <controlPr defaultSize="0" autoFill="0" autoPict="0">
                <anchor moveWithCells="1">
                  <from>
                    <xdr:col>15</xdr:col>
                    <xdr:colOff>723900</xdr:colOff>
                    <xdr:row>4</xdr:row>
                    <xdr:rowOff>57150</xdr:rowOff>
                  </from>
                  <to>
                    <xdr:col>16</xdr:col>
                    <xdr:colOff>704850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6" name="Drop Down 120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38100</xdr:rowOff>
                  </from>
                  <to>
                    <xdr:col>16</xdr:col>
                    <xdr:colOff>714375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7"/>
  <sheetViews>
    <sheetView workbookViewId="0">
      <selection activeCell="E26" sqref="E26"/>
    </sheetView>
  </sheetViews>
  <sheetFormatPr defaultColWidth="5.625" defaultRowHeight="13.5" x14ac:dyDescent="0.15"/>
  <cols>
    <col min="1" max="40" width="6.625" customWidth="1"/>
  </cols>
  <sheetData>
    <row r="1" spans="1:25" x14ac:dyDescent="0.15">
      <c r="A1" t="s">
        <v>52</v>
      </c>
      <c r="C1" t="s">
        <v>53</v>
      </c>
      <c r="E1" t="s">
        <v>54</v>
      </c>
      <c r="G1" t="s">
        <v>55</v>
      </c>
      <c r="I1" t="s">
        <v>56</v>
      </c>
      <c r="K1" t="s">
        <v>57</v>
      </c>
      <c r="M1" t="s">
        <v>58</v>
      </c>
      <c r="O1" t="s">
        <v>59</v>
      </c>
      <c r="Q1" t="s">
        <v>4</v>
      </c>
      <c r="S1" t="s">
        <v>5</v>
      </c>
      <c r="X1">
        <v>-1188</v>
      </c>
      <c r="Y1">
        <v>-410</v>
      </c>
    </row>
    <row r="2" spans="1:25" x14ac:dyDescent="0.15">
      <c r="K2">
        <v>600</v>
      </c>
      <c r="L2">
        <v>22</v>
      </c>
      <c r="O2">
        <v>578</v>
      </c>
      <c r="P2">
        <v>-231</v>
      </c>
      <c r="Q2">
        <v>558</v>
      </c>
      <c r="R2">
        <v>493</v>
      </c>
      <c r="S2">
        <v>-1240</v>
      </c>
      <c r="T2">
        <v>-422</v>
      </c>
      <c r="X2">
        <v>-1188</v>
      </c>
      <c r="Y2">
        <v>410</v>
      </c>
    </row>
    <row r="3" spans="1:25" x14ac:dyDescent="0.15">
      <c r="K3">
        <v>599</v>
      </c>
      <c r="L3">
        <v>-370</v>
      </c>
      <c r="O3">
        <v>599</v>
      </c>
      <c r="P3">
        <v>56</v>
      </c>
      <c r="Q3">
        <v>444</v>
      </c>
      <c r="R3">
        <v>95</v>
      </c>
      <c r="S3">
        <v>-563</v>
      </c>
      <c r="T3">
        <v>201</v>
      </c>
      <c r="X3">
        <v>1188</v>
      </c>
      <c r="Y3">
        <v>-410</v>
      </c>
    </row>
    <row r="4" spans="1:25" x14ac:dyDescent="0.15">
      <c r="K4">
        <v>604</v>
      </c>
      <c r="L4">
        <v>-370</v>
      </c>
      <c r="O4">
        <v>554</v>
      </c>
      <c r="P4">
        <v>-169</v>
      </c>
      <c r="Q4">
        <v>600</v>
      </c>
      <c r="R4">
        <v>-197</v>
      </c>
      <c r="S4">
        <v>-955</v>
      </c>
      <c r="T4">
        <v>-93</v>
      </c>
      <c r="X4">
        <v>1188</v>
      </c>
      <c r="Y4">
        <v>410</v>
      </c>
    </row>
    <row r="5" spans="1:25" x14ac:dyDescent="0.15">
      <c r="O5">
        <v>524</v>
      </c>
      <c r="P5">
        <v>147</v>
      </c>
      <c r="Q5">
        <v>1154</v>
      </c>
      <c r="R5">
        <v>-387</v>
      </c>
      <c r="S5">
        <v>-1255</v>
      </c>
      <c r="T5">
        <v>69</v>
      </c>
      <c r="X5">
        <v>-600</v>
      </c>
      <c r="Y5">
        <v>-22</v>
      </c>
    </row>
    <row r="6" spans="1:25" x14ac:dyDescent="0.15">
      <c r="Q6">
        <v>1212</v>
      </c>
      <c r="R6">
        <v>-231</v>
      </c>
      <c r="S6">
        <v>-1258</v>
      </c>
      <c r="T6">
        <v>258</v>
      </c>
      <c r="X6">
        <v>-599</v>
      </c>
      <c r="Y6">
        <v>370</v>
      </c>
    </row>
    <row r="7" spans="1:25" x14ac:dyDescent="0.15">
      <c r="Q7">
        <v>1251</v>
      </c>
      <c r="R7">
        <v>-342</v>
      </c>
      <c r="S7">
        <v>-1270</v>
      </c>
      <c r="T7">
        <v>-162</v>
      </c>
      <c r="X7">
        <v>-604</v>
      </c>
      <c r="Y7">
        <v>370</v>
      </c>
    </row>
    <row r="8" spans="1:25" x14ac:dyDescent="0.15">
      <c r="Q8">
        <v>1346</v>
      </c>
      <c r="R8">
        <v>-463</v>
      </c>
      <c r="S8">
        <v>-1108</v>
      </c>
      <c r="T8">
        <v>-301</v>
      </c>
    </row>
    <row r="9" spans="1:25" x14ac:dyDescent="0.15">
      <c r="Q9">
        <v>1264</v>
      </c>
      <c r="R9">
        <v>-279</v>
      </c>
      <c r="S9">
        <v>-613</v>
      </c>
      <c r="T9">
        <v>-199</v>
      </c>
    </row>
    <row r="10" spans="1:25" x14ac:dyDescent="0.15">
      <c r="Q10">
        <v>1351</v>
      </c>
      <c r="R10">
        <v>-283</v>
      </c>
      <c r="S10">
        <v>-1368</v>
      </c>
      <c r="T10">
        <v>-151</v>
      </c>
    </row>
    <row r="11" spans="1:25" x14ac:dyDescent="0.15">
      <c r="Q11">
        <v>1214</v>
      </c>
      <c r="R11">
        <v>-381</v>
      </c>
      <c r="S11">
        <v>-1294</v>
      </c>
      <c r="T11">
        <v>84</v>
      </c>
    </row>
    <row r="12" spans="1:25" x14ac:dyDescent="0.15">
      <c r="Q12">
        <v>1214</v>
      </c>
      <c r="R12">
        <v>43</v>
      </c>
      <c r="S12">
        <v>-1247</v>
      </c>
      <c r="T12">
        <v>46</v>
      </c>
    </row>
    <row r="13" spans="1:25" x14ac:dyDescent="0.15">
      <c r="Q13">
        <v>1192</v>
      </c>
      <c r="R13">
        <v>-578</v>
      </c>
    </row>
    <row r="14" spans="1:25" x14ac:dyDescent="0.15">
      <c r="Q14">
        <v>1164</v>
      </c>
      <c r="R14">
        <v>95</v>
      </c>
    </row>
    <row r="15" spans="1:25" x14ac:dyDescent="0.15">
      <c r="Q15">
        <v>1184</v>
      </c>
      <c r="R15">
        <v>-550</v>
      </c>
    </row>
    <row r="16" spans="1:25" x14ac:dyDescent="0.15">
      <c r="Q16">
        <v>1156</v>
      </c>
      <c r="R16">
        <v>-242</v>
      </c>
    </row>
    <row r="17" spans="17:18" x14ac:dyDescent="0.15">
      <c r="Q17">
        <v>1149</v>
      </c>
      <c r="R17">
        <v>193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Q4:R25"/>
  <sheetViews>
    <sheetView workbookViewId="0">
      <selection activeCell="P30" sqref="P30"/>
    </sheetView>
  </sheetViews>
  <sheetFormatPr defaultRowHeight="13.5" x14ac:dyDescent="0.15"/>
  <sheetData>
    <row r="4" spans="18:18" x14ac:dyDescent="0.15">
      <c r="R4">
        <v>2</v>
      </c>
    </row>
    <row r="6" spans="18:18" x14ac:dyDescent="0.15">
      <c r="R6">
        <v>2</v>
      </c>
    </row>
    <row r="11" spans="18:18" x14ac:dyDescent="0.15">
      <c r="R11" t="b">
        <v>0</v>
      </c>
    </row>
    <row r="12" spans="18:18" x14ac:dyDescent="0.15">
      <c r="R12" t="b">
        <v>1</v>
      </c>
    </row>
    <row r="13" spans="18:18" x14ac:dyDescent="0.15">
      <c r="R13" t="b">
        <v>0</v>
      </c>
    </row>
    <row r="24" spans="17:17" x14ac:dyDescent="0.15">
      <c r="Q24" t="s">
        <v>60</v>
      </c>
    </row>
    <row r="25" spans="17:17" x14ac:dyDescent="0.15">
      <c r="Q25" t="s">
        <v>61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Option Button 12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Option Button 13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Group Box 14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Check Box 21">
              <controlPr defaultSize="0" autoFill="0" autoLine="0" autoPict="0">
                <anchor moveWithCells="1">
                  <from>
                    <xdr:col>16</xdr:col>
                    <xdr:colOff>66675</xdr:colOff>
                    <xdr:row>10</xdr:row>
                    <xdr:rowOff>19050</xdr:rowOff>
                  </from>
                  <to>
                    <xdr:col>17</xdr:col>
                    <xdr:colOff>638175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Check Box 22">
              <controlPr defaultSize="0" autoFill="0" autoLine="0" autoPict="0">
                <anchor moveWithCells="1">
                  <from>
                    <xdr:col>16</xdr:col>
                    <xdr:colOff>66675</xdr:colOff>
                    <xdr:row>11</xdr:row>
                    <xdr:rowOff>142875</xdr:rowOff>
                  </from>
                  <to>
                    <xdr:col>17</xdr:col>
                    <xdr:colOff>638175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Check Box 23">
              <controlPr defaultSize="0" autoFill="0" autoLine="0" autoPict="0" altText="二发">
                <anchor moveWithCells="1">
                  <from>
                    <xdr:col>16</xdr:col>
                    <xdr:colOff>66675</xdr:colOff>
                    <xdr:row>13</xdr:row>
                    <xdr:rowOff>95250</xdr:rowOff>
                  </from>
                  <to>
                    <xdr:col>17</xdr:col>
                    <xdr:colOff>638175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heet3.raceCharts">
                <anchor moveWithCells="1" sizeWithCells="1">
                  <from>
                    <xdr:col>16</xdr:col>
                    <xdr:colOff>19050</xdr:colOff>
                    <xdr:row>17</xdr:row>
                    <xdr:rowOff>19050</xdr:rowOff>
                  </from>
                  <to>
                    <xdr:col>17</xdr:col>
                    <xdr:colOff>666750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32"/>
  <sheetViews>
    <sheetView workbookViewId="0">
      <selection activeCell="R29" sqref="R29"/>
    </sheetView>
  </sheetViews>
  <sheetFormatPr defaultRowHeight="13.5" x14ac:dyDescent="0.15"/>
  <cols>
    <col min="1" max="1" width="3" style="2" customWidth="1"/>
    <col min="2" max="2" width="12.375" style="2" customWidth="1"/>
    <col min="3" max="4" width="6.625" style="5" customWidth="1"/>
    <col min="5" max="5" width="10.75" style="2" customWidth="1"/>
    <col min="6" max="7" width="6.625" style="5" customWidth="1"/>
    <col min="8" max="8" width="17.125" style="5" customWidth="1"/>
    <col min="9" max="10" width="6.625" style="5" customWidth="1"/>
    <col min="11" max="15" width="9" style="2"/>
    <col min="16" max="16" width="10.5" style="2" customWidth="1"/>
    <col min="17" max="16384" width="9" style="2"/>
  </cols>
  <sheetData>
    <row r="1" spans="2:18" x14ac:dyDescent="0.15">
      <c r="B1" s="42"/>
      <c r="H1" s="42"/>
    </row>
    <row r="3" spans="2:18" s="5" customFormat="1" x14ac:dyDescent="0.15">
      <c r="C3" s="41" t="s">
        <v>6</v>
      </c>
      <c r="D3" s="41" t="s">
        <v>7</v>
      </c>
      <c r="F3" s="41" t="s">
        <v>6</v>
      </c>
      <c r="G3" s="41" t="s">
        <v>7</v>
      </c>
      <c r="I3" s="41" t="s">
        <v>6</v>
      </c>
      <c r="J3" s="41" t="s">
        <v>7</v>
      </c>
    </row>
    <row r="4" spans="2:18" x14ac:dyDescent="0.15">
      <c r="B4" s="33" t="s">
        <v>21</v>
      </c>
      <c r="C4" s="31">
        <v>0</v>
      </c>
      <c r="D4" s="31">
        <v>8</v>
      </c>
      <c r="E4" s="33" t="s">
        <v>98</v>
      </c>
      <c r="F4" s="31">
        <v>7</v>
      </c>
      <c r="G4" s="31">
        <v>0</v>
      </c>
      <c r="H4" s="33" t="s">
        <v>9</v>
      </c>
      <c r="I4" s="31">
        <v>9</v>
      </c>
      <c r="J4" s="31">
        <v>11</v>
      </c>
      <c r="L4" s="2">
        <v>2</v>
      </c>
      <c r="M4" s="2">
        <v>1</v>
      </c>
    </row>
    <row r="5" spans="2:18" x14ac:dyDescent="0.15">
      <c r="B5" s="33" t="s">
        <v>37</v>
      </c>
      <c r="C5" s="31">
        <v>0</v>
      </c>
      <c r="D5" s="31">
        <v>0</v>
      </c>
      <c r="E5" s="33" t="s">
        <v>99</v>
      </c>
      <c r="F5" s="31">
        <v>1</v>
      </c>
      <c r="G5" s="31">
        <v>0</v>
      </c>
      <c r="H5" s="33" t="s">
        <v>10</v>
      </c>
      <c r="I5" s="31">
        <v>0</v>
      </c>
      <c r="J5" s="31">
        <v>4</v>
      </c>
    </row>
    <row r="6" spans="2:18" x14ac:dyDescent="0.15">
      <c r="B6" s="33" t="s">
        <v>22</v>
      </c>
      <c r="C6" s="31">
        <v>0</v>
      </c>
      <c r="D6" s="31">
        <v>1</v>
      </c>
      <c r="E6" s="33" t="s">
        <v>100</v>
      </c>
      <c r="F6" s="31">
        <v>1</v>
      </c>
      <c r="G6" s="31">
        <v>0</v>
      </c>
      <c r="H6" s="33" t="s">
        <v>11</v>
      </c>
      <c r="I6" s="31">
        <v>2</v>
      </c>
      <c r="J6" s="31">
        <v>1</v>
      </c>
    </row>
    <row r="7" spans="2:18" x14ac:dyDescent="0.15">
      <c r="B7" s="33" t="s">
        <v>23</v>
      </c>
      <c r="C7" s="31">
        <v>0</v>
      </c>
      <c r="D7" s="31">
        <v>0</v>
      </c>
      <c r="E7" s="33" t="s">
        <v>101</v>
      </c>
      <c r="F7" s="31">
        <v>4</v>
      </c>
      <c r="G7" s="31">
        <v>0</v>
      </c>
      <c r="H7" s="33" t="s">
        <v>12</v>
      </c>
      <c r="I7" s="31">
        <v>4</v>
      </c>
      <c r="J7" s="31">
        <v>4</v>
      </c>
    </row>
    <row r="8" spans="2:18" x14ac:dyDescent="0.15">
      <c r="B8" s="33" t="s">
        <v>24</v>
      </c>
      <c r="C8" s="31">
        <v>0</v>
      </c>
      <c r="D8" s="31">
        <v>2</v>
      </c>
      <c r="E8" s="45" t="s">
        <v>112</v>
      </c>
      <c r="F8" s="31">
        <v>0</v>
      </c>
      <c r="G8" s="31">
        <v>0</v>
      </c>
      <c r="H8" s="45" t="s">
        <v>113</v>
      </c>
      <c r="I8" s="31">
        <v>1</v>
      </c>
      <c r="J8" s="31">
        <v>0</v>
      </c>
      <c r="Q8" s="43"/>
      <c r="R8" s="43"/>
    </row>
    <row r="9" spans="2:18" x14ac:dyDescent="0.15">
      <c r="B9" s="33" t="s">
        <v>27</v>
      </c>
      <c r="C9" s="31">
        <v>0</v>
      </c>
      <c r="D9" s="31">
        <v>3</v>
      </c>
      <c r="E9" s="33" t="s">
        <v>102</v>
      </c>
      <c r="F9" s="31">
        <v>6</v>
      </c>
      <c r="G9" s="31">
        <v>0</v>
      </c>
      <c r="H9" s="33" t="s">
        <v>49</v>
      </c>
      <c r="I9" s="31">
        <f>SUM($I$5:$I$7)</f>
        <v>6</v>
      </c>
      <c r="J9" s="31">
        <f>SUM($J$5:$J$7)</f>
        <v>9</v>
      </c>
      <c r="Q9" s="43"/>
      <c r="R9" s="43"/>
    </row>
    <row r="10" spans="2:18" x14ac:dyDescent="0.15">
      <c r="B10" s="33" t="s">
        <v>25</v>
      </c>
      <c r="C10" s="31">
        <v>0</v>
      </c>
      <c r="D10" s="31">
        <v>1</v>
      </c>
      <c r="E10" s="33" t="s">
        <v>103</v>
      </c>
      <c r="F10" s="31">
        <v>4</v>
      </c>
      <c r="G10" s="31">
        <v>0</v>
      </c>
      <c r="H10" s="33" t="s">
        <v>50</v>
      </c>
      <c r="I10" s="31">
        <v>4</v>
      </c>
      <c r="J10" s="31">
        <v>11</v>
      </c>
      <c r="Q10" s="43"/>
      <c r="R10" s="43"/>
    </row>
    <row r="11" spans="2:18" x14ac:dyDescent="0.15">
      <c r="B11" s="33" t="s">
        <v>26</v>
      </c>
      <c r="C11" s="31">
        <v>0</v>
      </c>
      <c r="D11" s="31">
        <v>0</v>
      </c>
      <c r="E11" s="33" t="s">
        <v>104</v>
      </c>
      <c r="F11" s="31">
        <v>3</v>
      </c>
      <c r="G11" s="31">
        <v>0</v>
      </c>
      <c r="H11" s="33" t="s">
        <v>51</v>
      </c>
      <c r="I11" s="31">
        <v>5</v>
      </c>
      <c r="J11" s="31">
        <v>0</v>
      </c>
    </row>
    <row r="12" spans="2:18" x14ac:dyDescent="0.15">
      <c r="B12" s="33" t="s">
        <v>62</v>
      </c>
      <c r="C12" s="31">
        <v>0</v>
      </c>
      <c r="D12" s="31">
        <v>1</v>
      </c>
      <c r="E12" s="33" t="s">
        <v>91</v>
      </c>
      <c r="F12" s="31">
        <v>4</v>
      </c>
      <c r="G12" s="31">
        <v>0</v>
      </c>
      <c r="H12" s="33" t="s">
        <v>88</v>
      </c>
      <c r="I12" s="31">
        <v>3</v>
      </c>
      <c r="J12" s="31">
        <v>9</v>
      </c>
    </row>
    <row r="13" spans="2:18" x14ac:dyDescent="0.15">
      <c r="B13" s="33" t="s">
        <v>45</v>
      </c>
      <c r="C13" s="31">
        <v>0</v>
      </c>
      <c r="D13" s="31">
        <v>1</v>
      </c>
      <c r="E13" s="33" t="s">
        <v>92</v>
      </c>
      <c r="F13" s="31">
        <v>2</v>
      </c>
      <c r="G13" s="31">
        <v>0</v>
      </c>
      <c r="H13" s="33" t="s">
        <v>89</v>
      </c>
      <c r="I13" s="31">
        <v>3</v>
      </c>
      <c r="J13" s="31">
        <v>0</v>
      </c>
    </row>
    <row r="14" spans="2:18" x14ac:dyDescent="0.15">
      <c r="B14" s="33" t="s">
        <v>28</v>
      </c>
      <c r="C14" s="31">
        <v>0</v>
      </c>
      <c r="D14" s="31">
        <v>6</v>
      </c>
      <c r="E14" s="33" t="s">
        <v>93</v>
      </c>
      <c r="F14" s="31">
        <v>2</v>
      </c>
      <c r="G14" s="31">
        <v>0</v>
      </c>
      <c r="H14" s="33" t="s">
        <v>8</v>
      </c>
      <c r="I14" s="31">
        <v>2</v>
      </c>
      <c r="J14" s="31">
        <v>2</v>
      </c>
    </row>
    <row r="15" spans="2:18" x14ac:dyDescent="0.15">
      <c r="B15" s="33" t="s">
        <v>38</v>
      </c>
      <c r="C15" s="31">
        <v>0</v>
      </c>
      <c r="D15" s="31">
        <v>0</v>
      </c>
      <c r="E15" s="33" t="s">
        <v>97</v>
      </c>
      <c r="F15" s="44">
        <f>IFERROR($F$9/$F$4, 0)</f>
        <v>0.8571428571428571</v>
      </c>
      <c r="G15" s="44">
        <f>IFERROR($G$9/$G$4, 0)</f>
        <v>0</v>
      </c>
      <c r="I15" s="31"/>
      <c r="J15" s="31"/>
    </row>
    <row r="16" spans="2:18" x14ac:dyDescent="0.15">
      <c r="B16" s="33" t="s">
        <v>32</v>
      </c>
      <c r="C16" s="31">
        <v>0</v>
      </c>
      <c r="D16" s="31">
        <v>0</v>
      </c>
      <c r="F16" s="31"/>
      <c r="G16" s="31"/>
      <c r="I16" s="31"/>
      <c r="J16" s="31"/>
    </row>
    <row r="17" spans="2:18" x14ac:dyDescent="0.15">
      <c r="B17" s="33" t="s">
        <v>33</v>
      </c>
      <c r="C17" s="31">
        <v>0</v>
      </c>
      <c r="D17" s="31">
        <v>4</v>
      </c>
      <c r="F17" s="31"/>
      <c r="G17" s="31"/>
      <c r="I17" s="31"/>
      <c r="J17" s="31"/>
      <c r="Q17" s="43"/>
      <c r="R17" s="43"/>
    </row>
    <row r="18" spans="2:18" x14ac:dyDescent="0.15">
      <c r="B18" s="33" t="s">
        <v>34</v>
      </c>
      <c r="C18" s="31">
        <v>0</v>
      </c>
      <c r="D18" s="31">
        <v>0</v>
      </c>
      <c r="E18" s="33" t="s">
        <v>40</v>
      </c>
      <c r="F18" s="31">
        <v>1</v>
      </c>
      <c r="G18" s="31">
        <v>0</v>
      </c>
      <c r="H18" s="33" t="s">
        <v>105</v>
      </c>
      <c r="I18" s="31">
        <v>16</v>
      </c>
      <c r="J18" s="31">
        <v>11</v>
      </c>
    </row>
    <row r="19" spans="2:18" x14ac:dyDescent="0.15">
      <c r="B19" s="33" t="s">
        <v>29</v>
      </c>
      <c r="C19" s="31">
        <v>0</v>
      </c>
      <c r="D19" s="31">
        <v>1</v>
      </c>
      <c r="E19" s="33" t="s">
        <v>39</v>
      </c>
      <c r="F19" s="31">
        <v>2</v>
      </c>
      <c r="G19" s="31">
        <v>0</v>
      </c>
      <c r="H19" s="33" t="s">
        <v>106</v>
      </c>
      <c r="I19" s="31">
        <v>7</v>
      </c>
      <c r="J19" s="31">
        <v>9</v>
      </c>
    </row>
    <row r="20" spans="2:18" x14ac:dyDescent="0.15">
      <c r="B20" s="33" t="s">
        <v>30</v>
      </c>
      <c r="C20" s="31">
        <v>0</v>
      </c>
      <c r="D20" s="31">
        <v>0</v>
      </c>
      <c r="E20" s="33" t="s">
        <v>36</v>
      </c>
      <c r="F20" s="31">
        <v>0</v>
      </c>
      <c r="G20" s="31">
        <v>0</v>
      </c>
      <c r="H20" s="33" t="s">
        <v>107</v>
      </c>
      <c r="I20" s="31">
        <v>5</v>
      </c>
      <c r="J20" s="31">
        <v>0</v>
      </c>
    </row>
    <row r="21" spans="2:18" x14ac:dyDescent="0.15">
      <c r="B21" s="33" t="s">
        <v>31</v>
      </c>
      <c r="C21" s="31">
        <v>0</v>
      </c>
      <c r="D21" s="31">
        <v>0</v>
      </c>
      <c r="E21" s="33" t="s">
        <v>35</v>
      </c>
      <c r="F21" s="31">
        <v>0</v>
      </c>
      <c r="G21" s="31">
        <v>0</v>
      </c>
      <c r="H21" s="33" t="s">
        <v>108</v>
      </c>
      <c r="I21" s="31">
        <v>4</v>
      </c>
      <c r="J21" s="31">
        <v>2</v>
      </c>
    </row>
    <row r="22" spans="2:18" x14ac:dyDescent="0.15">
      <c r="B22" s="33" t="s">
        <v>44</v>
      </c>
      <c r="C22" s="31">
        <v>0</v>
      </c>
      <c r="D22" s="31">
        <v>0</v>
      </c>
      <c r="F22" s="31"/>
      <c r="G22" s="31"/>
      <c r="H22" s="32"/>
      <c r="I22" s="31"/>
      <c r="J22" s="31"/>
    </row>
    <row r="23" spans="2:18" x14ac:dyDescent="0.15">
      <c r="B23" s="33" t="s">
        <v>46</v>
      </c>
      <c r="C23" s="31">
        <v>0</v>
      </c>
      <c r="D23" s="31">
        <v>2</v>
      </c>
      <c r="F23" s="31"/>
      <c r="G23" s="31"/>
      <c r="H23" s="32"/>
      <c r="I23" s="31"/>
      <c r="J23" s="31"/>
    </row>
    <row r="24" spans="2:18" x14ac:dyDescent="0.15">
      <c r="C24" s="31"/>
      <c r="D24" s="31"/>
      <c r="F24" s="31"/>
      <c r="G24" s="31"/>
      <c r="H24" s="32"/>
      <c r="I24" s="31"/>
      <c r="J24" s="31"/>
    </row>
    <row r="25" spans="2:18" x14ac:dyDescent="0.15">
      <c r="B25" s="33" t="s">
        <v>48</v>
      </c>
      <c r="C25" s="31">
        <v>0</v>
      </c>
      <c r="D25" s="31">
        <v>14</v>
      </c>
      <c r="E25" s="33" t="s">
        <v>13</v>
      </c>
      <c r="F25" s="31">
        <v>0</v>
      </c>
      <c r="G25" s="31">
        <v>0</v>
      </c>
      <c r="H25" s="33" t="s">
        <v>41</v>
      </c>
      <c r="I25" s="31">
        <v>3</v>
      </c>
      <c r="J25" s="31">
        <v>2</v>
      </c>
    </row>
    <row r="26" spans="2:18" x14ac:dyDescent="0.15">
      <c r="B26" s="33" t="s">
        <v>109</v>
      </c>
      <c r="C26" s="31">
        <v>0</v>
      </c>
      <c r="D26" s="31">
        <v>1</v>
      </c>
      <c r="E26" s="33" t="s">
        <v>14</v>
      </c>
      <c r="F26" s="31">
        <f>SUM($C$19:$C$22)</f>
        <v>0</v>
      </c>
      <c r="G26" s="31">
        <f>SUM($D$19:$D$22)</f>
        <v>1</v>
      </c>
      <c r="H26" s="33" t="s">
        <v>42</v>
      </c>
      <c r="I26" s="31">
        <v>0</v>
      </c>
      <c r="J26" s="31">
        <v>0</v>
      </c>
    </row>
    <row r="27" spans="2:18" x14ac:dyDescent="0.15">
      <c r="B27" s="33" t="s">
        <v>110</v>
      </c>
      <c r="C27" s="31">
        <v>0</v>
      </c>
      <c r="D27" s="31">
        <v>4</v>
      </c>
      <c r="E27" s="33" t="s">
        <v>15</v>
      </c>
      <c r="F27" s="44">
        <f>IFERROR(SUM($C$6:$C$8)/$C$4, 0)</f>
        <v>0</v>
      </c>
      <c r="G27" s="44">
        <f>IFERROR(SUM($D$6:$D$8)/$D$4, 0)</f>
        <v>0.375</v>
      </c>
      <c r="H27" s="33" t="s">
        <v>43</v>
      </c>
      <c r="I27" s="31">
        <v>0</v>
      </c>
      <c r="J27" s="31">
        <v>0</v>
      </c>
    </row>
    <row r="28" spans="2:18" x14ac:dyDescent="0.15">
      <c r="B28" s="33" t="s">
        <v>111</v>
      </c>
      <c r="C28" s="31">
        <v>0</v>
      </c>
      <c r="D28" s="31">
        <v>2</v>
      </c>
      <c r="E28" s="33" t="s">
        <v>16</v>
      </c>
      <c r="F28" s="44">
        <f>IFERROR($C$13/SUM($C$6:$C$8), 0)</f>
        <v>0</v>
      </c>
      <c r="G28" s="44">
        <f>IFERROR($D$13/SUM($D$6:$D$8), 0)</f>
        <v>0.33333333333333331</v>
      </c>
      <c r="H28" s="33" t="s">
        <v>47</v>
      </c>
      <c r="I28" s="31">
        <v>5</v>
      </c>
      <c r="J28" s="31">
        <v>3</v>
      </c>
    </row>
    <row r="29" spans="2:18" x14ac:dyDescent="0.15">
      <c r="B29" s="33" t="s">
        <v>90</v>
      </c>
      <c r="C29" s="31">
        <f>SUM($C$9:$C$12,$C$19:$C$22)</f>
        <v>0</v>
      </c>
      <c r="D29" s="31">
        <f>SUM($D$9:$D$12,$D$19:$D$22)</f>
        <v>6</v>
      </c>
      <c r="E29" s="33" t="s">
        <v>17</v>
      </c>
      <c r="F29" s="44">
        <f>IFERROR($C$23/SUM($C$16:$C$18), 0)</f>
        <v>0</v>
      </c>
      <c r="G29" s="44">
        <f>IFERROR($D$23/SUM($D$16:$D$18), 0)</f>
        <v>0.5</v>
      </c>
      <c r="I29" s="31"/>
      <c r="J29" s="31"/>
    </row>
    <row r="30" spans="2:18" x14ac:dyDescent="0.15">
      <c r="B30" s="33" t="s">
        <v>94</v>
      </c>
      <c r="C30" s="44">
        <f>IFERROR($C$26/($C$26 +$C$20 +$C$10), 0)</f>
        <v>0</v>
      </c>
      <c r="D30" s="44">
        <f>IFERROR($D$26/($D$26 +$D$20 +$D$10), 0)</f>
        <v>0.5</v>
      </c>
      <c r="E30" s="33" t="s">
        <v>18</v>
      </c>
      <c r="F30" s="44">
        <f>IFERROR($F$18/$F$19, 0)</f>
        <v>0.5</v>
      </c>
      <c r="G30" s="44">
        <f>IFERROR($G$18/$G$19, 0)</f>
        <v>0</v>
      </c>
      <c r="I30" s="31"/>
      <c r="J30" s="44"/>
    </row>
    <row r="31" spans="2:18" x14ac:dyDescent="0.15">
      <c r="B31" s="33" t="s">
        <v>95</v>
      </c>
      <c r="C31" s="44">
        <f>IFERROR($C$27/($C$27 +$C$21 +$C$11), 0)</f>
        <v>0</v>
      </c>
      <c r="D31" s="44">
        <f>IFERROR($D$27/($D$27 +$D$21 +$D$11), 0)</f>
        <v>1</v>
      </c>
      <c r="E31" s="33" t="s">
        <v>19</v>
      </c>
      <c r="F31" s="44">
        <f>IFERROR($F$20/$F$21, 0)</f>
        <v>0</v>
      </c>
      <c r="G31" s="44">
        <f>IFERROR($G$20/$G$21, 0)</f>
        <v>0</v>
      </c>
      <c r="I31" s="31"/>
      <c r="J31" s="44"/>
    </row>
    <row r="32" spans="2:18" x14ac:dyDescent="0.15">
      <c r="B32" s="33" t="s">
        <v>96</v>
      </c>
      <c r="C32" s="44">
        <f>IFERROR($C$28/($C$28 +$C$22 +$C$12), 0)</f>
        <v>0</v>
      </c>
      <c r="D32" s="44">
        <f>IFERROR($D$28/($D$28 +$D$22 +$D$12), 0)</f>
        <v>0.66666666666666663</v>
      </c>
      <c r="E32" s="33" t="s">
        <v>20</v>
      </c>
      <c r="F32" s="31">
        <v>2</v>
      </c>
      <c r="G32" s="31">
        <v>0</v>
      </c>
      <c r="I32" s="31"/>
      <c r="J32" s="44"/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10</xdr:col>
                    <xdr:colOff>9525</xdr:colOff>
                    <xdr:row>28</xdr:row>
                    <xdr:rowOff>9525</xdr:rowOff>
                  </from>
                  <to>
                    <xdr:col>11</xdr:col>
                    <xdr:colOff>9525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10</xdr:col>
                    <xdr:colOff>9525</xdr:colOff>
                    <xdr:row>29</xdr:row>
                    <xdr:rowOff>95250</xdr:rowOff>
                  </from>
                  <to>
                    <xdr:col>11</xdr:col>
                    <xdr:colOff>9525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19050</xdr:rowOff>
                  </from>
                  <to>
                    <xdr:col>11</xdr:col>
                    <xdr:colOff>676275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12</xdr:col>
                    <xdr:colOff>19050</xdr:colOff>
                    <xdr:row>28</xdr:row>
                    <xdr:rowOff>28575</xdr:rowOff>
                  </from>
                  <to>
                    <xdr:col>12</xdr:col>
                    <xdr:colOff>647700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13</xdr:col>
                    <xdr:colOff>19050</xdr:colOff>
                    <xdr:row>28</xdr:row>
                    <xdr:rowOff>28575</xdr:rowOff>
                  </from>
                  <to>
                    <xdr:col>13</xdr:col>
                    <xdr:colOff>666750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Sheet4.RaceOtherDetailCharts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15</xdr:col>
                    <xdr:colOff>771525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Group Box 8">
              <controlPr defaultSize="0" autoFill="0" autoPict="0">
                <anchor moveWithCells="1">
                  <from>
                    <xdr:col>10</xdr:col>
                    <xdr:colOff>9525</xdr:colOff>
                    <xdr:row>28</xdr:row>
                    <xdr:rowOff>0</xdr:rowOff>
                  </from>
                  <to>
                    <xdr:col>11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"/>
  <sheetViews>
    <sheetView workbookViewId="0"/>
  </sheetViews>
  <sheetFormatPr defaultColWidth="11" defaultRowHeight="13.5" x14ac:dyDescent="0.15"/>
  <sheetData>
    <row r="1" spans="1:9" x14ac:dyDescent="0.15">
      <c r="A1" t="s">
        <v>73</v>
      </c>
      <c r="C1" s="38" t="s">
        <v>74</v>
      </c>
      <c r="E1" s="38" t="s">
        <v>75</v>
      </c>
      <c r="G1" s="38" t="s">
        <v>76</v>
      </c>
      <c r="I1" s="39"/>
    </row>
    <row r="2" spans="1:9" x14ac:dyDescent="0.15">
      <c r="A2">
        <v>10</v>
      </c>
      <c r="C2" s="38">
        <v>5</v>
      </c>
      <c r="E2" s="38">
        <v>3</v>
      </c>
      <c r="G2" s="38">
        <v>2</v>
      </c>
      <c r="I2" s="39"/>
    </row>
    <row r="3" spans="1:9" x14ac:dyDescent="0.15">
      <c r="A3">
        <v>-1240</v>
      </c>
      <c r="B3">
        <v>-422</v>
      </c>
      <c r="C3">
        <v>277</v>
      </c>
      <c r="D3">
        <v>301</v>
      </c>
      <c r="E3">
        <v>361</v>
      </c>
      <c r="F3">
        <v>-160</v>
      </c>
      <c r="G3">
        <v>-41</v>
      </c>
      <c r="H3">
        <v>323</v>
      </c>
    </row>
    <row r="4" spans="1:9" x14ac:dyDescent="0.15">
      <c r="A4">
        <v>-955</v>
      </c>
      <c r="B4">
        <v>-93</v>
      </c>
      <c r="C4">
        <v>1065</v>
      </c>
      <c r="D4">
        <v>-318</v>
      </c>
      <c r="E4">
        <v>476</v>
      </c>
      <c r="F4">
        <v>-130</v>
      </c>
      <c r="G4">
        <v>1219</v>
      </c>
      <c r="H4">
        <v>277</v>
      </c>
    </row>
    <row r="5" spans="1:9" x14ac:dyDescent="0.15">
      <c r="A5">
        <v>-1255</v>
      </c>
      <c r="B5">
        <v>69</v>
      </c>
      <c r="C5">
        <v>1039</v>
      </c>
      <c r="D5">
        <v>-398</v>
      </c>
      <c r="E5">
        <v>669</v>
      </c>
      <c r="F5">
        <v>-223</v>
      </c>
    </row>
    <row r="6" spans="1:9" x14ac:dyDescent="0.15">
      <c r="A6">
        <v>-1258</v>
      </c>
      <c r="B6">
        <v>258</v>
      </c>
      <c r="C6">
        <v>935</v>
      </c>
      <c r="D6">
        <v>-223</v>
      </c>
    </row>
    <row r="7" spans="1:9" x14ac:dyDescent="0.15">
      <c r="A7">
        <v>-1270</v>
      </c>
      <c r="B7">
        <v>-162</v>
      </c>
      <c r="C7">
        <v>1140</v>
      </c>
      <c r="D7">
        <v>-255</v>
      </c>
    </row>
    <row r="8" spans="1:9" x14ac:dyDescent="0.15">
      <c r="A8">
        <v>-1108</v>
      </c>
      <c r="B8">
        <v>-301</v>
      </c>
    </row>
    <row r="9" spans="1:9" x14ac:dyDescent="0.15">
      <c r="A9">
        <v>-613</v>
      </c>
      <c r="B9">
        <v>-199</v>
      </c>
    </row>
    <row r="10" spans="1:9" x14ac:dyDescent="0.15">
      <c r="A10">
        <v>-1368</v>
      </c>
      <c r="B10">
        <v>-151</v>
      </c>
    </row>
    <row r="11" spans="1:9" x14ac:dyDescent="0.15">
      <c r="A11">
        <v>-1294</v>
      </c>
      <c r="B11">
        <v>84</v>
      </c>
    </row>
    <row r="12" spans="1:9" x14ac:dyDescent="0.15">
      <c r="A12">
        <v>-1247</v>
      </c>
      <c r="B12">
        <v>46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Q4:R25"/>
  <sheetViews>
    <sheetView workbookViewId="0">
      <selection activeCell="K28" sqref="K28"/>
    </sheetView>
  </sheetViews>
  <sheetFormatPr defaultRowHeight="13.5" x14ac:dyDescent="0.15"/>
  <sheetData>
    <row r="4" spans="18:18" x14ac:dyDescent="0.15">
      <c r="R4">
        <v>1</v>
      </c>
    </row>
    <row r="6" spans="18:18" x14ac:dyDescent="0.15">
      <c r="R6">
        <v>2</v>
      </c>
    </row>
    <row r="24" spans="17:17" x14ac:dyDescent="0.15">
      <c r="Q24" t="s">
        <v>60</v>
      </c>
    </row>
    <row r="25" spans="17:17" x14ac:dyDescent="0.15">
      <c r="Q25" t="s">
        <v>61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Group Box 3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Option Button 4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Option Button 5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print="0" autoFill="0" autoPict="0" macro="[0]!Sheet6.trainningCharts">
                <anchor moveWithCells="1" sizeWithCells="1">
                  <from>
                    <xdr:col>16</xdr:col>
                    <xdr:colOff>19050</xdr:colOff>
                    <xdr:row>10</xdr:row>
                    <xdr:rowOff>95250</xdr:rowOff>
                  </from>
                  <to>
                    <xdr:col>17</xdr:col>
                    <xdr:colOff>666750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6:F14"/>
  <sheetViews>
    <sheetView workbookViewId="0">
      <selection activeCell="H20" sqref="H20"/>
    </sheetView>
  </sheetViews>
  <sheetFormatPr defaultRowHeight="13.5" x14ac:dyDescent="0.15"/>
  <cols>
    <col min="4" max="4" width="12.5" customWidth="1"/>
    <col min="5" max="6" width="9" style="31"/>
  </cols>
  <sheetData>
    <row r="6" spans="4:6" x14ac:dyDescent="0.15">
      <c r="E6" s="41" t="s">
        <v>79</v>
      </c>
      <c r="F6" s="41" t="s">
        <v>80</v>
      </c>
    </row>
    <row r="7" spans="4:6" x14ac:dyDescent="0.15">
      <c r="D7" s="33" t="s">
        <v>78</v>
      </c>
      <c r="E7" s="40">
        <f>E8*20+E9*10</f>
        <v>0</v>
      </c>
      <c r="F7" s="40">
        <f>F8*20+F9*10</f>
        <v>130</v>
      </c>
    </row>
    <row r="8" spans="4:6" x14ac:dyDescent="0.15">
      <c r="D8" s="33" t="s">
        <v>81</v>
      </c>
      <c r="E8"/>
      <c r="F8">
        <v>5</v>
      </c>
    </row>
    <row r="9" spans="4:6" x14ac:dyDescent="0.15">
      <c r="D9" s="33" t="s">
        <v>82</v>
      </c>
      <c r="E9"/>
      <c r="F9">
        <v>3</v>
      </c>
    </row>
    <row r="10" spans="4:6" x14ac:dyDescent="0.15">
      <c r="D10" s="33" t="s">
        <v>83</v>
      </c>
      <c r="E10"/>
      <c r="F10">
        <v>2</v>
      </c>
    </row>
    <row r="11" spans="4:6" x14ac:dyDescent="0.15">
      <c r="D11" s="33" t="s">
        <v>85</v>
      </c>
      <c r="E11"/>
      <c r="F11">
        <v>10</v>
      </c>
    </row>
    <row r="12" spans="4:6" x14ac:dyDescent="0.15">
      <c r="D12" s="33" t="s">
        <v>84</v>
      </c>
      <c r="E12"/>
      <c r="F12">
        <v>3</v>
      </c>
    </row>
    <row r="13" spans="4:6" x14ac:dyDescent="0.15">
      <c r="D13" s="33" t="s">
        <v>86</v>
      </c>
      <c r="E13"/>
      <c r="F13" s="49">
        <v>0.3</v>
      </c>
    </row>
    <row r="14" spans="4:6" x14ac:dyDescent="0.15">
      <c r="D14" s="33" t="s">
        <v>87</v>
      </c>
      <c r="E14"/>
      <c r="F14" s="49">
        <v>0.5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</vt:lpstr>
      <vt:lpstr>raceCoordinates</vt:lpstr>
      <vt:lpstr>raceCharts</vt:lpstr>
      <vt:lpstr>raceOtherDetails</vt:lpstr>
      <vt:lpstr>trainningCoordinates</vt:lpstr>
      <vt:lpstr>trainningCharts</vt:lpstr>
      <vt:lpstr>trainningOtherDetails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TopGeer</dc:creator>
  <cp:lastModifiedBy>TopGeer</cp:lastModifiedBy>
  <dcterms:created xsi:type="dcterms:W3CDTF">2006-09-13T11:21:51Z</dcterms:created>
  <dcterms:modified xsi:type="dcterms:W3CDTF">2018-01-09T14:43:29Z</dcterms:modified>
</cp:coreProperties>
</file>